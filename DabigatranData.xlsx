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xc045/Documents/Dabigatram Project/Data/"/>
    </mc:Choice>
  </mc:AlternateContent>
  <xr:revisionPtr revIDLastSave="0" documentId="13_ncr:1_{52F66A26-8378-6D47-90B8-CE722BC9A005}" xr6:coauthVersionLast="47" xr6:coauthVersionMax="47" xr10:uidLastSave="{00000000-0000-0000-0000-000000000000}"/>
  <bookViews>
    <workbookView xWindow="5280" yWindow="1020" windowWidth="26280" windowHeight="18760" xr2:uid="{82980825-AFA3-4548-9D18-507AB9A34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1" i="1" l="1"/>
  <c r="E62" i="1"/>
  <c r="E63" i="1"/>
  <c r="E64" i="1"/>
  <c r="E65" i="1"/>
  <c r="E66" i="1"/>
  <c r="E60" i="1"/>
  <c r="D61" i="1"/>
  <c r="D62" i="1"/>
  <c r="D63" i="1"/>
  <c r="D64" i="1"/>
  <c r="D65" i="1"/>
  <c r="D66" i="1"/>
  <c r="D60" i="1"/>
  <c r="C49" i="1"/>
  <c r="C50" i="1"/>
  <c r="C51" i="1"/>
  <c r="C52" i="1"/>
  <c r="F52" i="1" s="1"/>
  <c r="C64" i="1" s="1"/>
  <c r="C53" i="1"/>
  <c r="F53" i="1" s="1"/>
  <c r="C65" i="1" s="1"/>
  <c r="C54" i="1"/>
  <c r="C48" i="1"/>
  <c r="K48" i="1"/>
  <c r="L48" i="1"/>
  <c r="M48" i="1"/>
  <c r="N48" i="1"/>
  <c r="O48" i="1"/>
  <c r="P48" i="1"/>
  <c r="Q48" i="1"/>
  <c r="R48" i="1"/>
  <c r="S48" i="1"/>
  <c r="K49" i="1"/>
  <c r="L49" i="1"/>
  <c r="M49" i="1"/>
  <c r="N49" i="1"/>
  <c r="O49" i="1"/>
  <c r="P49" i="1"/>
  <c r="Q49" i="1"/>
  <c r="R49" i="1"/>
  <c r="S49" i="1"/>
  <c r="K50" i="1"/>
  <c r="L50" i="1"/>
  <c r="M50" i="1"/>
  <c r="N50" i="1"/>
  <c r="O50" i="1"/>
  <c r="P50" i="1"/>
  <c r="Q50" i="1"/>
  <c r="R50" i="1"/>
  <c r="S50" i="1"/>
  <c r="K51" i="1"/>
  <c r="M51" i="1"/>
  <c r="N51" i="1"/>
  <c r="O51" i="1"/>
  <c r="P51" i="1"/>
  <c r="R51" i="1"/>
  <c r="K52" i="1"/>
  <c r="M52" i="1"/>
  <c r="N52" i="1"/>
  <c r="P52" i="1"/>
  <c r="R52" i="1"/>
  <c r="K53" i="1"/>
  <c r="M53" i="1"/>
  <c r="N53" i="1"/>
  <c r="R53" i="1"/>
  <c r="L47" i="1"/>
  <c r="M47" i="1"/>
  <c r="N47" i="1"/>
  <c r="O47" i="1"/>
  <c r="P47" i="1"/>
  <c r="Q47" i="1"/>
  <c r="R47" i="1"/>
  <c r="S47" i="1"/>
  <c r="K47" i="1"/>
  <c r="D49" i="1"/>
  <c r="D50" i="1"/>
  <c r="D51" i="1"/>
  <c r="D52" i="1"/>
  <c r="D53" i="1"/>
  <c r="D54" i="1"/>
  <c r="D48" i="1"/>
  <c r="T48" i="1"/>
  <c r="U48" i="1"/>
  <c r="V48" i="1"/>
  <c r="W48" i="1"/>
  <c r="X48" i="1"/>
  <c r="Y48" i="1"/>
  <c r="Z48" i="1"/>
  <c r="AA48" i="1"/>
  <c r="AB48" i="1"/>
  <c r="T49" i="1"/>
  <c r="U49" i="1"/>
  <c r="V49" i="1"/>
  <c r="W49" i="1"/>
  <c r="X49" i="1"/>
  <c r="Y49" i="1"/>
  <c r="Z49" i="1"/>
  <c r="AA49" i="1"/>
  <c r="AB49" i="1"/>
  <c r="T50" i="1"/>
  <c r="U50" i="1"/>
  <c r="V50" i="1"/>
  <c r="W50" i="1"/>
  <c r="X50" i="1"/>
  <c r="Y50" i="1"/>
  <c r="Z50" i="1"/>
  <c r="AA50" i="1"/>
  <c r="AB50" i="1"/>
  <c r="T51" i="1"/>
  <c r="U51" i="1"/>
  <c r="V51" i="1"/>
  <c r="W51" i="1"/>
  <c r="X51" i="1"/>
  <c r="Y51" i="1"/>
  <c r="Z51" i="1"/>
  <c r="AA51" i="1"/>
  <c r="AB51" i="1"/>
  <c r="T52" i="1"/>
  <c r="U52" i="1"/>
  <c r="V52" i="1"/>
  <c r="W52" i="1"/>
  <c r="X52" i="1"/>
  <c r="Y52" i="1"/>
  <c r="Z52" i="1"/>
  <c r="AA52" i="1"/>
  <c r="AB52" i="1"/>
  <c r="T53" i="1"/>
  <c r="U53" i="1"/>
  <c r="V53" i="1"/>
  <c r="W53" i="1"/>
  <c r="X53" i="1"/>
  <c r="Y53" i="1"/>
  <c r="Z53" i="1"/>
  <c r="AA53" i="1"/>
  <c r="U47" i="1"/>
  <c r="V47" i="1"/>
  <c r="W47" i="1"/>
  <c r="X47" i="1"/>
  <c r="Y47" i="1"/>
  <c r="Z47" i="1"/>
  <c r="AA47" i="1"/>
  <c r="AB47" i="1"/>
  <c r="T47" i="1"/>
  <c r="E49" i="1"/>
  <c r="E50" i="1"/>
  <c r="B62" i="1" s="1"/>
  <c r="E51" i="1"/>
  <c r="B63" i="1" s="1"/>
  <c r="E52" i="1"/>
  <c r="B64" i="1" s="1"/>
  <c r="E53" i="1"/>
  <c r="B65" i="1" s="1"/>
  <c r="E54" i="1"/>
  <c r="B66" i="1" s="1"/>
  <c r="AC48" i="1"/>
  <c r="AD48" i="1"/>
  <c r="AE48" i="1"/>
  <c r="AF48" i="1"/>
  <c r="AG48" i="1"/>
  <c r="AH48" i="1"/>
  <c r="AI48" i="1"/>
  <c r="AJ48" i="1"/>
  <c r="AK48" i="1"/>
  <c r="AC49" i="1"/>
  <c r="AE49" i="1"/>
  <c r="AF49" i="1"/>
  <c r="AH49" i="1"/>
  <c r="AJ49" i="1"/>
  <c r="AK49" i="1"/>
  <c r="AE50" i="1"/>
  <c r="AF50" i="1"/>
  <c r="AH50" i="1"/>
  <c r="AJ50" i="1"/>
  <c r="AE51" i="1"/>
  <c r="AF51" i="1"/>
  <c r="AH51" i="1"/>
  <c r="AJ51" i="1"/>
  <c r="AE52" i="1"/>
  <c r="AF52" i="1"/>
  <c r="AH52" i="1"/>
  <c r="AI52" i="1"/>
  <c r="AJ52" i="1"/>
  <c r="AE53" i="1"/>
  <c r="AF53" i="1"/>
  <c r="AI53" i="1"/>
  <c r="AJ53" i="1"/>
  <c r="E48" i="1"/>
  <c r="B60" i="1" s="1"/>
  <c r="AD47" i="1"/>
  <c r="AE47" i="1"/>
  <c r="AF47" i="1"/>
  <c r="AG47" i="1"/>
  <c r="AH47" i="1"/>
  <c r="AI47" i="1"/>
  <c r="AJ47" i="1"/>
  <c r="AK47" i="1"/>
  <c r="AC47" i="1"/>
  <c r="B61" i="1"/>
  <c r="F49" i="1"/>
  <c r="C61" i="1" s="1"/>
  <c r="F50" i="1"/>
  <c r="C62" i="1" s="1"/>
  <c r="F51" i="1"/>
  <c r="C63" i="1" s="1"/>
  <c r="F47" i="1"/>
  <c r="K35" i="1"/>
  <c r="E47" i="1"/>
  <c r="D47" i="1"/>
  <c r="C47" i="1"/>
  <c r="B54" i="1"/>
  <c r="B53" i="1"/>
  <c r="B52" i="1"/>
  <c r="B51" i="1"/>
  <c r="B50" i="1"/>
  <c r="B49" i="1"/>
  <c r="B48" i="1"/>
  <c r="B47" i="1"/>
  <c r="AH42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B34" i="1"/>
  <c r="AC26" i="1"/>
  <c r="AC42" i="1" s="1"/>
  <c r="AC25" i="1"/>
  <c r="AC41" i="1" s="1"/>
  <c r="AC24" i="1"/>
  <c r="AC40" i="1" s="1"/>
  <c r="C26" i="1"/>
  <c r="C42" i="1" s="1"/>
  <c r="E26" i="1"/>
  <c r="E42" i="1" s="1"/>
  <c r="G26" i="1"/>
  <c r="G42" i="1" s="1"/>
  <c r="I26" i="1"/>
  <c r="I42" i="1" s="1"/>
  <c r="K26" i="1"/>
  <c r="K42" i="1" s="1"/>
  <c r="M26" i="1"/>
  <c r="M42" i="1" s="1"/>
  <c r="N26" i="1"/>
  <c r="N42" i="1" s="1"/>
  <c r="R26" i="1"/>
  <c r="R42" i="1" s="1"/>
  <c r="T26" i="1"/>
  <c r="T42" i="1" s="1"/>
  <c r="U26" i="1"/>
  <c r="U42" i="1" s="1"/>
  <c r="V26" i="1"/>
  <c r="V42" i="1" s="1"/>
  <c r="W26" i="1"/>
  <c r="W42" i="1" s="1"/>
  <c r="X26" i="1"/>
  <c r="X42" i="1" s="1"/>
  <c r="Y26" i="1"/>
  <c r="Y42" i="1" s="1"/>
  <c r="Z26" i="1"/>
  <c r="Z42" i="1" s="1"/>
  <c r="AA26" i="1"/>
  <c r="AA42" i="1" s="1"/>
  <c r="AD26" i="1"/>
  <c r="AD42" i="1" s="1"/>
  <c r="AE26" i="1"/>
  <c r="AE42" i="1" s="1"/>
  <c r="AF26" i="1"/>
  <c r="AF42" i="1" s="1"/>
  <c r="AG26" i="1"/>
  <c r="AG42" i="1" s="1"/>
  <c r="AI26" i="1"/>
  <c r="AI42" i="1" s="1"/>
  <c r="AJ26" i="1"/>
  <c r="AJ42" i="1" s="1"/>
  <c r="AK26" i="1"/>
  <c r="AK42" i="1" s="1"/>
  <c r="B19" i="1"/>
  <c r="B35" i="1" s="1"/>
  <c r="C19" i="1"/>
  <c r="C35" i="1" s="1"/>
  <c r="D19" i="1"/>
  <c r="D35" i="1" s="1"/>
  <c r="E19" i="1"/>
  <c r="E35" i="1" s="1"/>
  <c r="F19" i="1"/>
  <c r="F35" i="1" s="1"/>
  <c r="G19" i="1"/>
  <c r="G35" i="1" s="1"/>
  <c r="H19" i="1"/>
  <c r="H35" i="1" s="1"/>
  <c r="I19" i="1"/>
  <c r="I35" i="1" s="1"/>
  <c r="J19" i="1"/>
  <c r="J35" i="1" s="1"/>
  <c r="K19" i="1"/>
  <c r="L19" i="1"/>
  <c r="L35" i="1" s="1"/>
  <c r="M19" i="1"/>
  <c r="M35" i="1" s="1"/>
  <c r="N19" i="1"/>
  <c r="N35" i="1" s="1"/>
  <c r="O19" i="1"/>
  <c r="O35" i="1" s="1"/>
  <c r="P19" i="1"/>
  <c r="P35" i="1" s="1"/>
  <c r="Q19" i="1"/>
  <c r="Q35" i="1" s="1"/>
  <c r="R19" i="1"/>
  <c r="R35" i="1" s="1"/>
  <c r="S19" i="1"/>
  <c r="S35" i="1" s="1"/>
  <c r="T19" i="1"/>
  <c r="T35" i="1" s="1"/>
  <c r="U19" i="1"/>
  <c r="U35" i="1" s="1"/>
  <c r="V19" i="1"/>
  <c r="V35" i="1" s="1"/>
  <c r="W19" i="1"/>
  <c r="W35" i="1" s="1"/>
  <c r="X19" i="1"/>
  <c r="X35" i="1" s="1"/>
  <c r="Y19" i="1"/>
  <c r="Y35" i="1" s="1"/>
  <c r="Z19" i="1"/>
  <c r="Z35" i="1" s="1"/>
  <c r="AA19" i="1"/>
  <c r="AA35" i="1" s="1"/>
  <c r="AB19" i="1"/>
  <c r="AB35" i="1" s="1"/>
  <c r="AC19" i="1"/>
  <c r="AC35" i="1" s="1"/>
  <c r="AD19" i="1"/>
  <c r="AD35" i="1" s="1"/>
  <c r="AE19" i="1"/>
  <c r="AE35" i="1" s="1"/>
  <c r="AF19" i="1"/>
  <c r="AF35" i="1" s="1"/>
  <c r="AG19" i="1"/>
  <c r="AG35" i="1" s="1"/>
  <c r="AH19" i="1"/>
  <c r="AH35" i="1" s="1"/>
  <c r="AI19" i="1"/>
  <c r="AI35" i="1" s="1"/>
  <c r="AJ19" i="1"/>
  <c r="AJ35" i="1" s="1"/>
  <c r="AK19" i="1"/>
  <c r="AK35" i="1" s="1"/>
  <c r="B20" i="1"/>
  <c r="B36" i="1" s="1"/>
  <c r="C20" i="1"/>
  <c r="C36" i="1" s="1"/>
  <c r="D20" i="1"/>
  <c r="D36" i="1" s="1"/>
  <c r="E20" i="1"/>
  <c r="E36" i="1" s="1"/>
  <c r="F20" i="1"/>
  <c r="F36" i="1" s="1"/>
  <c r="G20" i="1"/>
  <c r="G36" i="1" s="1"/>
  <c r="H20" i="1"/>
  <c r="H36" i="1" s="1"/>
  <c r="I20" i="1"/>
  <c r="I36" i="1" s="1"/>
  <c r="J20" i="1"/>
  <c r="J36" i="1" s="1"/>
  <c r="K20" i="1"/>
  <c r="K36" i="1" s="1"/>
  <c r="L20" i="1"/>
  <c r="L36" i="1" s="1"/>
  <c r="M20" i="1"/>
  <c r="M36" i="1" s="1"/>
  <c r="N20" i="1"/>
  <c r="N36" i="1" s="1"/>
  <c r="O20" i="1"/>
  <c r="O36" i="1" s="1"/>
  <c r="P20" i="1"/>
  <c r="P36" i="1" s="1"/>
  <c r="Q20" i="1"/>
  <c r="Q36" i="1" s="1"/>
  <c r="R20" i="1"/>
  <c r="R36" i="1" s="1"/>
  <c r="S20" i="1"/>
  <c r="S36" i="1" s="1"/>
  <c r="T20" i="1"/>
  <c r="T36" i="1" s="1"/>
  <c r="U20" i="1"/>
  <c r="U36" i="1" s="1"/>
  <c r="V20" i="1"/>
  <c r="V36" i="1" s="1"/>
  <c r="W20" i="1"/>
  <c r="W36" i="1" s="1"/>
  <c r="X20" i="1"/>
  <c r="X36" i="1" s="1"/>
  <c r="Y20" i="1"/>
  <c r="Y36" i="1" s="1"/>
  <c r="Z20" i="1"/>
  <c r="Z36" i="1" s="1"/>
  <c r="AA20" i="1"/>
  <c r="AA36" i="1" s="1"/>
  <c r="AB20" i="1"/>
  <c r="AB36" i="1" s="1"/>
  <c r="AC20" i="1"/>
  <c r="AC36" i="1" s="1"/>
  <c r="AD20" i="1"/>
  <c r="AD36" i="1" s="1"/>
  <c r="AE20" i="1"/>
  <c r="AE36" i="1" s="1"/>
  <c r="AF20" i="1"/>
  <c r="AF36" i="1" s="1"/>
  <c r="AG20" i="1"/>
  <c r="AG36" i="1" s="1"/>
  <c r="AH20" i="1"/>
  <c r="AH36" i="1" s="1"/>
  <c r="AI20" i="1"/>
  <c r="AI36" i="1" s="1"/>
  <c r="AJ20" i="1"/>
  <c r="AJ36" i="1" s="1"/>
  <c r="AK20" i="1"/>
  <c r="AK36" i="1" s="1"/>
  <c r="B21" i="1"/>
  <c r="B37" i="1" s="1"/>
  <c r="C21" i="1"/>
  <c r="C37" i="1" s="1"/>
  <c r="D21" i="1"/>
  <c r="D37" i="1" s="1"/>
  <c r="E21" i="1"/>
  <c r="E37" i="1" s="1"/>
  <c r="F21" i="1"/>
  <c r="F37" i="1" s="1"/>
  <c r="G21" i="1"/>
  <c r="G37" i="1" s="1"/>
  <c r="H21" i="1"/>
  <c r="H37" i="1" s="1"/>
  <c r="I21" i="1"/>
  <c r="I37" i="1" s="1"/>
  <c r="J21" i="1"/>
  <c r="J37" i="1" s="1"/>
  <c r="K21" i="1"/>
  <c r="K37" i="1" s="1"/>
  <c r="L21" i="1"/>
  <c r="L37" i="1" s="1"/>
  <c r="M21" i="1"/>
  <c r="M37" i="1" s="1"/>
  <c r="N21" i="1"/>
  <c r="N37" i="1" s="1"/>
  <c r="O21" i="1"/>
  <c r="O37" i="1" s="1"/>
  <c r="P21" i="1"/>
  <c r="P37" i="1" s="1"/>
  <c r="Q21" i="1"/>
  <c r="Q37" i="1" s="1"/>
  <c r="R21" i="1"/>
  <c r="R37" i="1" s="1"/>
  <c r="S21" i="1"/>
  <c r="S37" i="1" s="1"/>
  <c r="T21" i="1"/>
  <c r="T37" i="1" s="1"/>
  <c r="U21" i="1"/>
  <c r="U37" i="1" s="1"/>
  <c r="V21" i="1"/>
  <c r="V37" i="1" s="1"/>
  <c r="W21" i="1"/>
  <c r="W37" i="1" s="1"/>
  <c r="X21" i="1"/>
  <c r="X37" i="1" s="1"/>
  <c r="Y21" i="1"/>
  <c r="Y37" i="1" s="1"/>
  <c r="Z21" i="1"/>
  <c r="Z37" i="1" s="1"/>
  <c r="AA21" i="1"/>
  <c r="AA37" i="1" s="1"/>
  <c r="AB21" i="1"/>
  <c r="AB37" i="1" s="1"/>
  <c r="AC21" i="1"/>
  <c r="AC37" i="1" s="1"/>
  <c r="AD21" i="1"/>
  <c r="AD37" i="1" s="1"/>
  <c r="AE21" i="1"/>
  <c r="AE37" i="1" s="1"/>
  <c r="AF21" i="1"/>
  <c r="AF37" i="1" s="1"/>
  <c r="AG21" i="1"/>
  <c r="AG37" i="1" s="1"/>
  <c r="AH21" i="1"/>
  <c r="AH37" i="1" s="1"/>
  <c r="AI21" i="1"/>
  <c r="AI37" i="1" s="1"/>
  <c r="AJ21" i="1"/>
  <c r="AJ37" i="1" s="1"/>
  <c r="AK21" i="1"/>
  <c r="AK37" i="1" s="1"/>
  <c r="B22" i="1"/>
  <c r="B38" i="1" s="1"/>
  <c r="C22" i="1"/>
  <c r="C38" i="1" s="1"/>
  <c r="D22" i="1"/>
  <c r="D38" i="1" s="1"/>
  <c r="E22" i="1"/>
  <c r="E38" i="1" s="1"/>
  <c r="F22" i="1"/>
  <c r="F38" i="1" s="1"/>
  <c r="G22" i="1"/>
  <c r="G38" i="1" s="1"/>
  <c r="H22" i="1"/>
  <c r="H38" i="1" s="1"/>
  <c r="I22" i="1"/>
  <c r="I38" i="1" s="1"/>
  <c r="J22" i="1"/>
  <c r="J38" i="1" s="1"/>
  <c r="K22" i="1"/>
  <c r="K38" i="1" s="1"/>
  <c r="L22" i="1"/>
  <c r="L38" i="1" s="1"/>
  <c r="M22" i="1"/>
  <c r="M38" i="1" s="1"/>
  <c r="N22" i="1"/>
  <c r="N38" i="1" s="1"/>
  <c r="O22" i="1"/>
  <c r="O38" i="1" s="1"/>
  <c r="P22" i="1"/>
  <c r="P38" i="1" s="1"/>
  <c r="Q22" i="1"/>
  <c r="Q38" i="1" s="1"/>
  <c r="R22" i="1"/>
  <c r="R38" i="1" s="1"/>
  <c r="S22" i="1"/>
  <c r="S38" i="1" s="1"/>
  <c r="T22" i="1"/>
  <c r="T38" i="1" s="1"/>
  <c r="U22" i="1"/>
  <c r="U38" i="1" s="1"/>
  <c r="V22" i="1"/>
  <c r="V38" i="1" s="1"/>
  <c r="W22" i="1"/>
  <c r="W38" i="1" s="1"/>
  <c r="X22" i="1"/>
  <c r="X38" i="1" s="1"/>
  <c r="Y22" i="1"/>
  <c r="Y38" i="1" s="1"/>
  <c r="Z22" i="1"/>
  <c r="Z38" i="1" s="1"/>
  <c r="AA22" i="1"/>
  <c r="AA38" i="1" s="1"/>
  <c r="AB22" i="1"/>
  <c r="AB38" i="1" s="1"/>
  <c r="AC22" i="1"/>
  <c r="AC38" i="1" s="1"/>
  <c r="AD22" i="1"/>
  <c r="AD38" i="1" s="1"/>
  <c r="AE22" i="1"/>
  <c r="AE38" i="1" s="1"/>
  <c r="AF22" i="1"/>
  <c r="AF38" i="1" s="1"/>
  <c r="AG22" i="1"/>
  <c r="AG38" i="1" s="1"/>
  <c r="AH22" i="1"/>
  <c r="AH38" i="1" s="1"/>
  <c r="AI22" i="1"/>
  <c r="AI38" i="1" s="1"/>
  <c r="AJ22" i="1"/>
  <c r="AJ38" i="1" s="1"/>
  <c r="AK22" i="1"/>
  <c r="AK38" i="1" s="1"/>
  <c r="B23" i="1"/>
  <c r="B39" i="1" s="1"/>
  <c r="C23" i="1"/>
  <c r="C39" i="1" s="1"/>
  <c r="D23" i="1"/>
  <c r="D39" i="1" s="1"/>
  <c r="E23" i="1"/>
  <c r="E39" i="1" s="1"/>
  <c r="F23" i="1"/>
  <c r="F39" i="1" s="1"/>
  <c r="G23" i="1"/>
  <c r="G39" i="1" s="1"/>
  <c r="H23" i="1"/>
  <c r="H39" i="1" s="1"/>
  <c r="I23" i="1"/>
  <c r="I39" i="1" s="1"/>
  <c r="J23" i="1"/>
  <c r="J39" i="1" s="1"/>
  <c r="K23" i="1"/>
  <c r="K39" i="1" s="1"/>
  <c r="L23" i="1"/>
  <c r="L39" i="1" s="1"/>
  <c r="M23" i="1"/>
  <c r="M39" i="1" s="1"/>
  <c r="N23" i="1"/>
  <c r="N39" i="1" s="1"/>
  <c r="O23" i="1"/>
  <c r="O39" i="1" s="1"/>
  <c r="P23" i="1"/>
  <c r="P39" i="1" s="1"/>
  <c r="Q23" i="1"/>
  <c r="Q39" i="1" s="1"/>
  <c r="R23" i="1"/>
  <c r="R39" i="1" s="1"/>
  <c r="S23" i="1"/>
  <c r="S39" i="1" s="1"/>
  <c r="T23" i="1"/>
  <c r="T39" i="1" s="1"/>
  <c r="U23" i="1"/>
  <c r="U39" i="1" s="1"/>
  <c r="V23" i="1"/>
  <c r="V39" i="1" s="1"/>
  <c r="W23" i="1"/>
  <c r="W39" i="1" s="1"/>
  <c r="X23" i="1"/>
  <c r="X39" i="1" s="1"/>
  <c r="Y23" i="1"/>
  <c r="Y39" i="1" s="1"/>
  <c r="Z23" i="1"/>
  <c r="Z39" i="1" s="1"/>
  <c r="AA23" i="1"/>
  <c r="AA39" i="1" s="1"/>
  <c r="AB23" i="1"/>
  <c r="AB39" i="1" s="1"/>
  <c r="AC23" i="1"/>
  <c r="AC39" i="1" s="1"/>
  <c r="AD23" i="1"/>
  <c r="AD39" i="1" s="1"/>
  <c r="AE23" i="1"/>
  <c r="AE39" i="1" s="1"/>
  <c r="AF23" i="1"/>
  <c r="AF39" i="1" s="1"/>
  <c r="AG23" i="1"/>
  <c r="AG39" i="1" s="1"/>
  <c r="AH23" i="1"/>
  <c r="AH39" i="1" s="1"/>
  <c r="AI23" i="1"/>
  <c r="AI39" i="1" s="1"/>
  <c r="AJ23" i="1"/>
  <c r="AJ39" i="1" s="1"/>
  <c r="AK23" i="1"/>
  <c r="AK39" i="1" s="1"/>
  <c r="B24" i="1"/>
  <c r="B40" i="1" s="1"/>
  <c r="C24" i="1"/>
  <c r="C40" i="1" s="1"/>
  <c r="E24" i="1"/>
  <c r="E40" i="1" s="1"/>
  <c r="G24" i="1"/>
  <c r="G40" i="1" s="1"/>
  <c r="H24" i="1"/>
  <c r="H40" i="1" s="1"/>
  <c r="I24" i="1"/>
  <c r="I40" i="1" s="1"/>
  <c r="J24" i="1"/>
  <c r="J40" i="1" s="1"/>
  <c r="K24" i="1"/>
  <c r="K40" i="1" s="1"/>
  <c r="M24" i="1"/>
  <c r="M40" i="1" s="1"/>
  <c r="N24" i="1"/>
  <c r="N40" i="1" s="1"/>
  <c r="O24" i="1"/>
  <c r="O40" i="1" s="1"/>
  <c r="P24" i="1"/>
  <c r="P40" i="1" s="1"/>
  <c r="R24" i="1"/>
  <c r="R40" i="1" s="1"/>
  <c r="T24" i="1"/>
  <c r="T40" i="1" s="1"/>
  <c r="U24" i="1"/>
  <c r="U40" i="1" s="1"/>
  <c r="V24" i="1"/>
  <c r="V40" i="1" s="1"/>
  <c r="W24" i="1"/>
  <c r="W40" i="1" s="1"/>
  <c r="X24" i="1"/>
  <c r="X40" i="1" s="1"/>
  <c r="Y24" i="1"/>
  <c r="Y40" i="1" s="1"/>
  <c r="Z24" i="1"/>
  <c r="Z40" i="1" s="1"/>
  <c r="AA24" i="1"/>
  <c r="AA40" i="1" s="1"/>
  <c r="AB24" i="1"/>
  <c r="AB40" i="1" s="1"/>
  <c r="AD24" i="1"/>
  <c r="AD40" i="1" s="1"/>
  <c r="AE24" i="1"/>
  <c r="AE40" i="1" s="1"/>
  <c r="AF24" i="1"/>
  <c r="AF40" i="1" s="1"/>
  <c r="AG24" i="1"/>
  <c r="AG40" i="1" s="1"/>
  <c r="AH24" i="1"/>
  <c r="AH40" i="1" s="1"/>
  <c r="AI24" i="1"/>
  <c r="AI40" i="1" s="1"/>
  <c r="AJ24" i="1"/>
  <c r="AJ40" i="1" s="1"/>
  <c r="AK24" i="1"/>
  <c r="AK40" i="1" s="1"/>
  <c r="B25" i="1"/>
  <c r="B41" i="1" s="1"/>
  <c r="C25" i="1"/>
  <c r="C41" i="1" s="1"/>
  <c r="E25" i="1"/>
  <c r="E41" i="1" s="1"/>
  <c r="G25" i="1"/>
  <c r="G41" i="1" s="1"/>
  <c r="H25" i="1"/>
  <c r="H41" i="1" s="1"/>
  <c r="I25" i="1"/>
  <c r="I41" i="1" s="1"/>
  <c r="K25" i="1"/>
  <c r="K41" i="1" s="1"/>
  <c r="M25" i="1"/>
  <c r="M41" i="1" s="1"/>
  <c r="N25" i="1"/>
  <c r="N41" i="1" s="1"/>
  <c r="P25" i="1"/>
  <c r="P41" i="1" s="1"/>
  <c r="R25" i="1"/>
  <c r="R41" i="1" s="1"/>
  <c r="T25" i="1"/>
  <c r="T41" i="1" s="1"/>
  <c r="U25" i="1"/>
  <c r="U41" i="1" s="1"/>
  <c r="V25" i="1"/>
  <c r="V41" i="1" s="1"/>
  <c r="W25" i="1"/>
  <c r="W41" i="1" s="1"/>
  <c r="X25" i="1"/>
  <c r="X41" i="1" s="1"/>
  <c r="Y25" i="1"/>
  <c r="Y41" i="1" s="1"/>
  <c r="Z25" i="1"/>
  <c r="Z41" i="1" s="1"/>
  <c r="AA25" i="1"/>
  <c r="AA41" i="1" s="1"/>
  <c r="AB25" i="1"/>
  <c r="AB41" i="1" s="1"/>
  <c r="AD25" i="1"/>
  <c r="AD41" i="1" s="1"/>
  <c r="AE25" i="1"/>
  <c r="AE41" i="1" s="1"/>
  <c r="AF25" i="1"/>
  <c r="AF41" i="1" s="1"/>
  <c r="AG25" i="1"/>
  <c r="AG41" i="1" s="1"/>
  <c r="AH25" i="1"/>
  <c r="AH41" i="1" s="1"/>
  <c r="AI25" i="1"/>
  <c r="AI41" i="1" s="1"/>
  <c r="AJ25" i="1"/>
  <c r="AJ41" i="1" s="1"/>
  <c r="AK25" i="1"/>
  <c r="AK41" i="1" s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B18" i="1"/>
  <c r="F54" i="1" l="1"/>
  <c r="C66" i="1" s="1"/>
  <c r="F48" i="1"/>
  <c r="C60" i="1" s="1"/>
</calcChain>
</file>

<file path=xl/sharedStrings.xml><?xml version="1.0" encoding="utf-8"?>
<sst xmlns="http://schemas.openxmlformats.org/spreadsheetml/2006/main" count="54" uniqueCount="34">
  <si>
    <t>Days</t>
  </si>
  <si>
    <t>isotype</t>
  </si>
  <si>
    <t>Dabigratan</t>
  </si>
  <si>
    <t>PD1 blockade</t>
  </si>
  <si>
    <t>Dabigran + PD1 blockade</t>
  </si>
  <si>
    <t>Convert Area to Volume</t>
  </si>
  <si>
    <t>Dabigatran</t>
  </si>
  <si>
    <t>Dabigitran + PD1 blockade</t>
  </si>
  <si>
    <t>Convert Volume to Approximate Cell Count/100,000</t>
  </si>
  <si>
    <t>Dabigatran + PD1 blockade</t>
  </si>
  <si>
    <t>0 to 7</t>
  </si>
  <si>
    <t>7 to 11</t>
  </si>
  <si>
    <t>11 to 14</t>
  </si>
  <si>
    <t>14 to 17</t>
  </si>
  <si>
    <t>17 to 20</t>
  </si>
  <si>
    <t>20 to 23</t>
  </si>
  <si>
    <t>23 to 26</t>
  </si>
  <si>
    <t>26 to 29</t>
  </si>
  <si>
    <t>Isotype</t>
  </si>
  <si>
    <t>Fold Change</t>
  </si>
  <si>
    <t>DB</t>
  </si>
  <si>
    <t>PD1</t>
  </si>
  <si>
    <t>Combo</t>
  </si>
  <si>
    <t>DB*PD1</t>
  </si>
  <si>
    <t>C0= 26.37483482631814 , rhoT= 0.0007416527837257298 , alphaPD= 14.759742270194469 , alphaBPD= 0.001982691739024133 , thetaT= 0.3679013388077784 , rhoTB= 2.143140652955548e-05 , alphaT= 1.9430287250113003 , lambdaB= 0.6908326510825691 , alphaTB= 0.0007504221714303722 , kon= 1.6323587381066291 , koff= 0.2927877063089253 , s= 1.4792039139497228 , k= 0.9</t>
  </si>
  <si>
    <t>T cell Proliferation rate</t>
  </si>
  <si>
    <t>Normal CD8+</t>
  </si>
  <si>
    <t>TGF-B1+ CD8+</t>
  </si>
  <si>
    <t>T cell killing rate</t>
  </si>
  <si>
    <t>PD-1 Inhibitor Effectiveness</t>
  </si>
  <si>
    <t>Rate at which TGF-B1- cells become +</t>
  </si>
  <si>
    <t>Rate at which TGF-B1+ cells become -</t>
  </si>
  <si>
    <t>Combo Standard Error</t>
  </si>
  <si>
    <t>DB*PD1 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</si>
</sst>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Arial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5" xfId="0" applyBorder="1"/>
    <xf numFmtId="0" fontId="2" fillId="0" borderId="0" xfId="0" applyFont="1"/>
    <xf numFmtId="0" fontId="0" fillId="0" borderId="9" xfId="0" applyBorder="1"/>
    <xf numFmtId="11" fontId="0" fillId="0" borderId="9" xfId="0" applyNumberFormat="1" applyBorder="1"/>
    <xf numFmtId="0" fontId="1" fillId="0" borderId="0" xfId="0" applyFont="1" applyAlignment="1">
      <alignment horizontal="center"/>
    </xf>
    <xf numFmtId="0" fontId="0" fillId="0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Count Fold Change Between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Sheet1!$B$59</c:f>
              <c:strCache>
                <c:ptCount val="1"/>
                <c:pt idx="0">
                  <c:v>Combo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Sheet1!$A$60:$A$66</c:f>
              <c:strCache>
                <c:ptCount val="7"/>
                <c:pt idx="0">
                  <c:v>7 to 11</c:v>
                </c:pt>
                <c:pt idx="1">
                  <c:v>11 to 14</c:v>
                </c:pt>
                <c:pt idx="2">
                  <c:v>14 to 17</c:v>
                </c:pt>
                <c:pt idx="3">
                  <c:v>17 to 20</c:v>
                </c:pt>
                <c:pt idx="4">
                  <c:v>20 to 23</c:v>
                </c:pt>
                <c:pt idx="5">
                  <c:v>23 to 26</c:v>
                </c:pt>
                <c:pt idx="6">
                  <c:v>26 to 29</c:v>
                </c:pt>
              </c:strCache>
            </c:strRef>
          </c:cat>
          <c:val>
            <c:numRef>
              <c:f>Sheet1!$B$60:$B$66</c:f>
              <c:numCache>
                <c:formatCode>General</c:formatCode>
                <c:ptCount val="7"/>
                <c:pt idx="0">
                  <c:v>0.65966670142258976</c:v>
                </c:pt>
                <c:pt idx="1">
                  <c:v>0.73676356914206853</c:v>
                </c:pt>
                <c:pt idx="2">
                  <c:v>0.78095991957215949</c:v>
                </c:pt>
                <c:pt idx="3">
                  <c:v>0.54963760315227328</c:v>
                </c:pt>
                <c:pt idx="4">
                  <c:v>1.2625969888719195</c:v>
                </c:pt>
                <c:pt idx="5">
                  <c:v>0.67971257610460178</c:v>
                </c:pt>
                <c:pt idx="6">
                  <c:v>0.51237459336796098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1-A745-AD16-591EA88861CF}"/>
            </c:ext>
          </c:extLst>
        </c:ser>
        <c:ser>
          <c:idx val="1"/>
          <c:order val="1"/>
          <c:tx>
            <c:strRef>
              <c:f>Sheet1!$C$59</c:f>
              <c:strCache>
                <c:ptCount val="1"/>
                <c:pt idx="0">
                  <c:v>DB*PD1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Sheet1!$A$60:$A$66</c:f>
              <c:strCache>
                <c:ptCount val="7"/>
                <c:pt idx="0">
                  <c:v>7 to 11</c:v>
                </c:pt>
                <c:pt idx="1">
                  <c:v>11 to 14</c:v>
                </c:pt>
                <c:pt idx="2">
                  <c:v>14 to 17</c:v>
                </c:pt>
                <c:pt idx="3">
                  <c:v>17 to 20</c:v>
                </c:pt>
                <c:pt idx="4">
                  <c:v>20 to 23</c:v>
                </c:pt>
                <c:pt idx="5">
                  <c:v>23 to 26</c:v>
                </c:pt>
                <c:pt idx="6">
                  <c:v>26 to 29</c:v>
                </c:pt>
              </c:strCache>
            </c:strRef>
          </c:cat>
          <c:val>
            <c:numRef>
              <c:f>Sheet1!$C$60:$C$66</c:f>
              <c:numCache>
                <c:formatCode>General</c:formatCode>
                <c:ptCount val="7"/>
                <c:pt idx="0">
                  <c:v>0.89294303177027923</c:v>
                </c:pt>
                <c:pt idx="1">
                  <c:v>1.7085185962886829</c:v>
                </c:pt>
                <c:pt idx="2">
                  <c:v>1.9114032886256336</c:v>
                </c:pt>
                <c:pt idx="3">
                  <c:v>1.700882741708162</c:v>
                </c:pt>
                <c:pt idx="4">
                  <c:v>1.1267448268684628</c:v>
                </c:pt>
                <c:pt idx="5">
                  <c:v>0.71053893805015933</c:v>
                </c:pt>
                <c:pt idx="6">
                  <c:v>0.49773177720767964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1-A745-AD16-591EA8886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611616"/>
        <c:axId val="561613264"/>
      </c:lineChart>
      <c:catAx>
        <c:axId val="56161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Intervals of Interest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13264"/>
        <c:crosses val="autoZero"/>
        <c:auto val="1"/>
        <c:lblAlgn val="ctr"/>
        <c:lblOffset val="100"/>
        <c:noMultiLvlLbl val="0"/>
      </c:catAx>
      <c:valAx>
        <c:axId val="56161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Fold Change Over Time Interval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61161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54</xdr:row>
      <xdr:rowOff>63500</xdr:rowOff>
    </xdr:from>
    <xdr:to>
      <xdr:col>11</xdr:col>
      <xdr:colOff>596900</xdr:colOff>
      <xdr:row>67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FCA468-E34D-F14D-92D2-DF9902A7A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76E5-9232-D94F-8870-C9508D66E396}">
  <dimension ref="A1:AK77"/>
  <sheetViews>
    <sheetView tabSelected="1" topLeftCell="A30" workbookViewId="0">
      <selection activeCell="B58" sqref="B58"/>
    </sheetView>
  </sheetViews>
  <sheetFormatPr baseColWidth="10" defaultRowHeight="16" x14ac:dyDescent="0.2"/>
  <cols>
    <col min="4" max="4" width="19.33203125" bestFit="1" customWidth="1"/>
    <col min="5" max="5" width="20.1640625" bestFit="1" customWidth="1"/>
    <col min="6" max="6" width="24" bestFit="1" customWidth="1"/>
    <col min="7" max="7" width="12.1640625" bestFit="1" customWidth="1"/>
    <col min="8" max="8" width="13" bestFit="1" customWidth="1"/>
    <col min="10" max="10" width="15.33203125" customWidth="1"/>
  </cols>
  <sheetData>
    <row r="1" spans="1:37" x14ac:dyDescent="0.2">
      <c r="A1" s="1" t="s">
        <v>0</v>
      </c>
      <c r="B1" s="15" t="s">
        <v>1</v>
      </c>
      <c r="C1" s="15"/>
      <c r="D1" s="15"/>
      <c r="E1" s="15"/>
      <c r="F1" s="15"/>
      <c r="G1" s="15"/>
      <c r="H1" s="15"/>
      <c r="I1" s="15"/>
      <c r="J1" s="15"/>
      <c r="K1" s="15" t="s">
        <v>2</v>
      </c>
      <c r="L1" s="15"/>
      <c r="M1" s="15"/>
      <c r="N1" s="15"/>
      <c r="O1" s="15"/>
      <c r="P1" s="15"/>
      <c r="Q1" s="15"/>
      <c r="R1" s="15"/>
      <c r="S1" s="15"/>
      <c r="T1" s="15" t="s">
        <v>3</v>
      </c>
      <c r="U1" s="15"/>
      <c r="V1" s="15"/>
      <c r="W1" s="15"/>
      <c r="X1" s="15"/>
      <c r="Y1" s="15"/>
      <c r="Z1" s="15"/>
      <c r="AA1" s="15"/>
      <c r="AB1" s="15"/>
      <c r="AC1" s="15" t="s">
        <v>4</v>
      </c>
      <c r="AD1" s="15"/>
      <c r="AE1" s="15"/>
      <c r="AF1" s="15"/>
      <c r="AG1" s="15"/>
      <c r="AH1" s="15"/>
      <c r="AI1" s="15"/>
      <c r="AJ1" s="15"/>
      <c r="AK1" s="15"/>
    </row>
    <row r="2" spans="1:37" x14ac:dyDescent="0.2">
      <c r="A2" s="2">
        <v>0</v>
      </c>
      <c r="B2" s="3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0</v>
      </c>
      <c r="K2" s="3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5">
        <v>0</v>
      </c>
      <c r="T2" s="3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5">
        <v>0</v>
      </c>
      <c r="AC2" s="3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5">
        <v>0</v>
      </c>
    </row>
    <row r="3" spans="1:37" x14ac:dyDescent="0.2">
      <c r="A3" s="2">
        <v>7</v>
      </c>
      <c r="B3" s="6">
        <v>32.200000000000003</v>
      </c>
      <c r="C3" s="2">
        <v>37.1</v>
      </c>
      <c r="D3" s="2">
        <v>29.8</v>
      </c>
      <c r="E3" s="2">
        <v>28.1</v>
      </c>
      <c r="F3" s="2">
        <v>24.8</v>
      </c>
      <c r="G3" s="2">
        <v>34.799999999999997</v>
      </c>
      <c r="H3" s="2">
        <v>26</v>
      </c>
      <c r="I3" s="2">
        <v>27</v>
      </c>
      <c r="J3" s="7">
        <v>29.9</v>
      </c>
      <c r="K3" s="6">
        <v>32.200000000000003</v>
      </c>
      <c r="L3" s="2">
        <v>37.1</v>
      </c>
      <c r="M3" s="2">
        <v>29.8</v>
      </c>
      <c r="N3" s="2">
        <v>28.1</v>
      </c>
      <c r="O3" s="2">
        <v>24.8</v>
      </c>
      <c r="P3" s="2">
        <v>34.799999999999997</v>
      </c>
      <c r="Q3" s="2">
        <v>26</v>
      </c>
      <c r="R3" s="2">
        <v>27</v>
      </c>
      <c r="S3" s="7">
        <v>29.9</v>
      </c>
      <c r="T3" s="6">
        <v>32.200000000000003</v>
      </c>
      <c r="U3" s="2">
        <v>37.1</v>
      </c>
      <c r="V3" s="2">
        <v>29.8</v>
      </c>
      <c r="W3" s="2">
        <v>28.1</v>
      </c>
      <c r="X3" s="2">
        <v>24.8</v>
      </c>
      <c r="Y3" s="2">
        <v>34.799999999999997</v>
      </c>
      <c r="Z3" s="2">
        <v>26</v>
      </c>
      <c r="AA3" s="2">
        <v>27</v>
      </c>
      <c r="AB3" s="7">
        <v>29.9</v>
      </c>
      <c r="AC3" s="6">
        <v>32.200000000000003</v>
      </c>
      <c r="AD3" s="2">
        <v>37.1</v>
      </c>
      <c r="AE3" s="2">
        <v>29.8</v>
      </c>
      <c r="AF3" s="2">
        <v>28.1</v>
      </c>
      <c r="AG3" s="2">
        <v>24.8</v>
      </c>
      <c r="AH3" s="2">
        <v>34.799999999999997</v>
      </c>
      <c r="AI3" s="2">
        <v>26</v>
      </c>
      <c r="AJ3" s="2">
        <v>27</v>
      </c>
      <c r="AK3" s="7">
        <v>29.9</v>
      </c>
    </row>
    <row r="4" spans="1:37" x14ac:dyDescent="0.2">
      <c r="A4" s="2">
        <v>11</v>
      </c>
      <c r="B4" s="6">
        <v>43.7</v>
      </c>
      <c r="C4" s="2">
        <v>64.8</v>
      </c>
      <c r="D4" s="2">
        <v>61.6</v>
      </c>
      <c r="E4" s="2">
        <v>50.4</v>
      </c>
      <c r="F4" s="2">
        <v>33.6</v>
      </c>
      <c r="G4" s="2">
        <v>56.3</v>
      </c>
      <c r="H4" s="2">
        <v>77</v>
      </c>
      <c r="I4" s="2">
        <v>68.900000000000006</v>
      </c>
      <c r="J4" s="7">
        <v>39.1</v>
      </c>
      <c r="K4" s="6">
        <v>34.5</v>
      </c>
      <c r="L4" s="2">
        <v>37.200000000000003</v>
      </c>
      <c r="M4" s="2">
        <v>37.1</v>
      </c>
      <c r="N4" s="2">
        <v>25</v>
      </c>
      <c r="O4" s="2">
        <v>47.4</v>
      </c>
      <c r="P4" s="2">
        <v>42.6</v>
      </c>
      <c r="Q4" s="2">
        <v>33</v>
      </c>
      <c r="R4" s="2">
        <v>29.7</v>
      </c>
      <c r="S4" s="7">
        <v>41.6</v>
      </c>
      <c r="T4" s="6">
        <v>45</v>
      </c>
      <c r="U4" s="2">
        <v>31.4</v>
      </c>
      <c r="V4" s="2">
        <v>37</v>
      </c>
      <c r="W4" s="2">
        <v>6</v>
      </c>
      <c r="X4" s="2">
        <v>61.2</v>
      </c>
      <c r="Y4" s="2">
        <v>46.5</v>
      </c>
      <c r="Z4" s="2">
        <v>37.4</v>
      </c>
      <c r="AA4" s="2">
        <v>42.6</v>
      </c>
      <c r="AB4" s="7">
        <v>39.799999999999997</v>
      </c>
      <c r="AC4" s="6">
        <v>19.399999999999999</v>
      </c>
      <c r="AD4" s="2">
        <v>14</v>
      </c>
      <c r="AE4" s="2">
        <v>13.7</v>
      </c>
      <c r="AF4" s="2">
        <v>23</v>
      </c>
      <c r="AG4" s="2">
        <v>4</v>
      </c>
      <c r="AH4" s="2">
        <v>35.299999999999997</v>
      </c>
      <c r="AI4" s="2">
        <v>31.7</v>
      </c>
      <c r="AJ4" s="2">
        <v>27.6</v>
      </c>
      <c r="AK4" s="7">
        <v>24</v>
      </c>
    </row>
    <row r="5" spans="1:37" x14ac:dyDescent="0.2">
      <c r="A5" s="2">
        <v>14</v>
      </c>
      <c r="B5" s="6">
        <v>47</v>
      </c>
      <c r="C5" s="2">
        <v>90.2</v>
      </c>
      <c r="D5" s="2">
        <v>96</v>
      </c>
      <c r="E5" s="2">
        <v>77.2</v>
      </c>
      <c r="F5" s="2">
        <v>41</v>
      </c>
      <c r="G5" s="2">
        <v>72.3</v>
      </c>
      <c r="H5" s="2">
        <v>114</v>
      </c>
      <c r="I5" s="2">
        <v>75.7</v>
      </c>
      <c r="J5" s="7">
        <v>51.3</v>
      </c>
      <c r="K5" s="6">
        <v>20.3</v>
      </c>
      <c r="L5" s="2">
        <v>63.9</v>
      </c>
      <c r="M5" s="2">
        <v>23</v>
      </c>
      <c r="N5" s="2">
        <v>72.3</v>
      </c>
      <c r="O5" s="2">
        <v>79.8</v>
      </c>
      <c r="P5" s="2">
        <v>65.3</v>
      </c>
      <c r="Q5" s="2">
        <v>44.5</v>
      </c>
      <c r="R5" s="2">
        <v>55</v>
      </c>
      <c r="S5" s="7">
        <v>41.3</v>
      </c>
      <c r="T5" s="6">
        <v>53.8</v>
      </c>
      <c r="U5" s="2">
        <v>30.3</v>
      </c>
      <c r="V5" s="2">
        <v>40</v>
      </c>
      <c r="W5" s="2">
        <v>15.6</v>
      </c>
      <c r="X5" s="2">
        <v>59.1</v>
      </c>
      <c r="Y5" s="2">
        <v>42.3</v>
      </c>
      <c r="Z5" s="2">
        <v>36.6</v>
      </c>
      <c r="AA5" s="2">
        <v>32.799999999999997</v>
      </c>
      <c r="AB5" s="7">
        <v>54</v>
      </c>
      <c r="AC5" s="6">
        <v>11.5</v>
      </c>
      <c r="AD5" s="2">
        <v>9.6999999999999993</v>
      </c>
      <c r="AE5" s="2">
        <v>6</v>
      </c>
      <c r="AF5" s="2">
        <v>20.3</v>
      </c>
      <c r="AG5" s="2">
        <v>4</v>
      </c>
      <c r="AH5" s="2">
        <v>19.2</v>
      </c>
      <c r="AI5" s="2">
        <v>18.5</v>
      </c>
      <c r="AJ5" s="2">
        <v>51.7</v>
      </c>
      <c r="AK5" s="7">
        <v>4</v>
      </c>
    </row>
    <row r="6" spans="1:37" x14ac:dyDescent="0.2">
      <c r="A6" s="2">
        <v>17</v>
      </c>
      <c r="B6" s="6">
        <v>61.8</v>
      </c>
      <c r="C6" s="2">
        <v>148.5</v>
      </c>
      <c r="D6" s="2">
        <v>128.30000000000001</v>
      </c>
      <c r="E6" s="2">
        <v>107.1</v>
      </c>
      <c r="F6" s="2">
        <v>64</v>
      </c>
      <c r="G6" s="2">
        <v>98</v>
      </c>
      <c r="H6" s="2">
        <v>222.8</v>
      </c>
      <c r="I6" s="2">
        <v>114</v>
      </c>
      <c r="J6" s="7">
        <v>93.7</v>
      </c>
      <c r="K6" s="6">
        <v>101.2</v>
      </c>
      <c r="L6" s="2">
        <v>81</v>
      </c>
      <c r="M6" s="2">
        <v>20.7</v>
      </c>
      <c r="N6" s="2">
        <v>138</v>
      </c>
      <c r="O6" s="2">
        <v>84.2</v>
      </c>
      <c r="P6" s="2">
        <v>101.9</v>
      </c>
      <c r="Q6" s="2">
        <v>57.6</v>
      </c>
      <c r="R6" s="2">
        <v>81</v>
      </c>
      <c r="S6" s="7">
        <v>62.1</v>
      </c>
      <c r="T6" s="6">
        <v>67.3</v>
      </c>
      <c r="U6" s="2">
        <v>49.9</v>
      </c>
      <c r="V6" s="2">
        <v>62.4</v>
      </c>
      <c r="W6" s="2">
        <v>18.2</v>
      </c>
      <c r="X6" s="2">
        <v>61.9</v>
      </c>
      <c r="Y6" s="2">
        <v>49.2</v>
      </c>
      <c r="Z6" s="2">
        <v>39</v>
      </c>
      <c r="AA6" s="2">
        <v>36.4</v>
      </c>
      <c r="AB6" s="7">
        <v>68.7</v>
      </c>
      <c r="AC6" s="6">
        <v>8.4</v>
      </c>
      <c r="AD6" s="2"/>
      <c r="AE6" s="2">
        <v>6.8</v>
      </c>
      <c r="AF6" s="2">
        <v>27</v>
      </c>
      <c r="AG6" s="2">
        <v>0</v>
      </c>
      <c r="AH6" s="2">
        <v>16.100000000000001</v>
      </c>
      <c r="AI6" s="2">
        <v>0</v>
      </c>
      <c r="AJ6" s="2">
        <v>79.2</v>
      </c>
      <c r="AK6" s="7">
        <v>4</v>
      </c>
    </row>
    <row r="7" spans="1:37" x14ac:dyDescent="0.2">
      <c r="A7" s="2">
        <v>20</v>
      </c>
      <c r="B7" s="6">
        <v>95.2</v>
      </c>
      <c r="C7" s="2">
        <v>160</v>
      </c>
      <c r="D7" s="2">
        <v>123.5</v>
      </c>
      <c r="E7" s="2">
        <v>117.6</v>
      </c>
      <c r="F7" s="2">
        <v>72.16</v>
      </c>
      <c r="G7" s="2">
        <v>111.3</v>
      </c>
      <c r="H7" s="2">
        <v>281.75</v>
      </c>
      <c r="I7" s="2">
        <v>164.22</v>
      </c>
      <c r="J7" s="7">
        <v>103.55</v>
      </c>
      <c r="K7" s="6">
        <v>98.01</v>
      </c>
      <c r="L7" s="2">
        <v>80.989999999999995</v>
      </c>
      <c r="M7" s="2">
        <v>26.46</v>
      </c>
      <c r="N7" s="2">
        <v>146.30000000000001</v>
      </c>
      <c r="O7" s="2">
        <v>101.15</v>
      </c>
      <c r="P7" s="2">
        <v>121.83</v>
      </c>
      <c r="Q7" s="2">
        <v>86.32</v>
      </c>
      <c r="R7" s="2">
        <v>131</v>
      </c>
      <c r="S7" s="7">
        <v>78.38</v>
      </c>
      <c r="T7" s="6">
        <v>76.650000000000006</v>
      </c>
      <c r="U7" s="2">
        <v>91</v>
      </c>
      <c r="V7" s="2">
        <v>119.6</v>
      </c>
      <c r="W7" s="2">
        <v>17.16</v>
      </c>
      <c r="X7" s="2">
        <v>79.05</v>
      </c>
      <c r="Y7" s="2">
        <v>59.29</v>
      </c>
      <c r="Z7" s="2">
        <v>53.4</v>
      </c>
      <c r="AA7" s="2">
        <v>51.35</v>
      </c>
      <c r="AB7" s="7">
        <v>72.25</v>
      </c>
      <c r="AC7" s="6">
        <v>0</v>
      </c>
      <c r="AD7" s="2"/>
      <c r="AE7" s="2">
        <v>4</v>
      </c>
      <c r="AF7" s="2">
        <v>20.25</v>
      </c>
      <c r="AG7" s="2">
        <v>0</v>
      </c>
      <c r="AH7" s="2">
        <v>30.8</v>
      </c>
      <c r="AI7" s="2">
        <v>0</v>
      </c>
      <c r="AJ7" s="2">
        <v>89.44</v>
      </c>
      <c r="AK7" s="7">
        <v>0</v>
      </c>
    </row>
    <row r="8" spans="1:37" x14ac:dyDescent="0.2">
      <c r="A8" s="2">
        <v>23</v>
      </c>
      <c r="B8" s="6">
        <v>100</v>
      </c>
      <c r="C8" s="2">
        <v>213.16</v>
      </c>
      <c r="D8" s="2"/>
      <c r="E8" s="2">
        <v>193.17</v>
      </c>
      <c r="F8" s="2"/>
      <c r="G8" s="2">
        <v>169</v>
      </c>
      <c r="H8" s="2">
        <v>390.44</v>
      </c>
      <c r="I8" s="2">
        <v>267.2</v>
      </c>
      <c r="J8" s="7">
        <v>144.1</v>
      </c>
      <c r="K8" s="6">
        <v>148.03</v>
      </c>
      <c r="L8" s="2"/>
      <c r="M8" s="2">
        <v>49</v>
      </c>
      <c r="N8" s="2">
        <v>147.29</v>
      </c>
      <c r="O8" s="2">
        <v>123.9</v>
      </c>
      <c r="P8" s="2">
        <v>168.72</v>
      </c>
      <c r="Q8" s="2"/>
      <c r="R8" s="2">
        <v>138.88</v>
      </c>
      <c r="S8" s="7"/>
      <c r="T8" s="6">
        <v>137.28</v>
      </c>
      <c r="U8" s="2">
        <v>181.89</v>
      </c>
      <c r="V8" s="2">
        <v>122.21</v>
      </c>
      <c r="W8" s="2">
        <v>42.75</v>
      </c>
      <c r="X8" s="2">
        <v>133.75</v>
      </c>
      <c r="Y8" s="2">
        <v>60.72</v>
      </c>
      <c r="Z8" s="2">
        <v>74</v>
      </c>
      <c r="AA8" s="2">
        <v>71.760000000000005</v>
      </c>
      <c r="AB8" s="7">
        <v>107.1</v>
      </c>
      <c r="AC8" s="6">
        <v>0</v>
      </c>
      <c r="AD8" s="2"/>
      <c r="AE8" s="2">
        <v>12.25</v>
      </c>
      <c r="AF8" s="2">
        <v>20.5</v>
      </c>
      <c r="AG8" s="2">
        <v>0</v>
      </c>
      <c r="AH8" s="2">
        <v>87.2</v>
      </c>
      <c r="AI8" s="2">
        <v>4</v>
      </c>
      <c r="AJ8" s="2">
        <v>32.76</v>
      </c>
      <c r="AK8" s="7">
        <v>0</v>
      </c>
    </row>
    <row r="9" spans="1:37" x14ac:dyDescent="0.2">
      <c r="A9" s="2">
        <v>26</v>
      </c>
      <c r="B9" s="6">
        <v>97.65</v>
      </c>
      <c r="C9" s="2">
        <v>258</v>
      </c>
      <c r="D9" s="2"/>
      <c r="E9" s="2">
        <v>233.28</v>
      </c>
      <c r="F9" s="2"/>
      <c r="G9" s="2">
        <v>184.95</v>
      </c>
      <c r="H9" s="2">
        <v>451</v>
      </c>
      <c r="I9" s="2">
        <v>249.55</v>
      </c>
      <c r="J9" s="7"/>
      <c r="K9" s="6">
        <v>229.52</v>
      </c>
      <c r="L9" s="2"/>
      <c r="M9" s="2">
        <v>36</v>
      </c>
      <c r="N9" s="2">
        <v>161.66</v>
      </c>
      <c r="O9" s="2"/>
      <c r="P9" s="2">
        <v>227.42</v>
      </c>
      <c r="Q9" s="2"/>
      <c r="R9" s="2">
        <v>225.18</v>
      </c>
      <c r="S9" s="7"/>
      <c r="T9" s="6">
        <v>155.44</v>
      </c>
      <c r="U9" s="2">
        <v>215.45</v>
      </c>
      <c r="V9" s="2">
        <v>140</v>
      </c>
      <c r="W9" s="2">
        <v>55.68</v>
      </c>
      <c r="X9" s="2">
        <v>144.97</v>
      </c>
      <c r="Y9" s="2">
        <v>55.38</v>
      </c>
      <c r="Z9" s="2">
        <v>76</v>
      </c>
      <c r="AA9" s="2">
        <v>56.95</v>
      </c>
      <c r="AB9" s="7">
        <v>104</v>
      </c>
      <c r="AC9" s="6">
        <v>0</v>
      </c>
      <c r="AD9" s="2"/>
      <c r="AE9" s="2">
        <v>13.69</v>
      </c>
      <c r="AF9" s="2">
        <v>24.01</v>
      </c>
      <c r="AG9" s="2">
        <v>0</v>
      </c>
      <c r="AH9" s="2">
        <v>90.48</v>
      </c>
      <c r="AI9" s="2">
        <v>4</v>
      </c>
      <c r="AJ9" s="2">
        <v>45.03</v>
      </c>
      <c r="AK9" s="7">
        <v>0</v>
      </c>
    </row>
    <row r="10" spans="1:37" x14ac:dyDescent="0.2">
      <c r="A10" s="2">
        <v>29</v>
      </c>
      <c r="B10" s="6"/>
      <c r="C10" s="2">
        <v>372.48</v>
      </c>
      <c r="D10" s="2"/>
      <c r="E10" s="2">
        <v>256.88</v>
      </c>
      <c r="F10" s="2"/>
      <c r="G10" s="2">
        <v>273.60000000000002</v>
      </c>
      <c r="H10" s="2"/>
      <c r="I10" s="2">
        <v>390</v>
      </c>
      <c r="J10" s="7"/>
      <c r="K10" s="6">
        <v>259.5</v>
      </c>
      <c r="L10" s="2"/>
      <c r="M10" s="2">
        <v>38.44</v>
      </c>
      <c r="N10" s="2">
        <v>153.51</v>
      </c>
      <c r="O10" s="2"/>
      <c r="P10" s="2"/>
      <c r="Q10" s="2"/>
      <c r="R10" s="2">
        <v>295.83</v>
      </c>
      <c r="S10" s="7"/>
      <c r="T10" s="8">
        <v>204.45</v>
      </c>
      <c r="U10" s="9">
        <v>231.46</v>
      </c>
      <c r="V10" s="9">
        <v>190</v>
      </c>
      <c r="W10" s="9">
        <v>77.28</v>
      </c>
      <c r="X10" s="9">
        <v>206.15</v>
      </c>
      <c r="Y10" s="9">
        <v>78.849999999999994</v>
      </c>
      <c r="Z10" s="9">
        <v>84</v>
      </c>
      <c r="AA10" s="9">
        <v>83.2</v>
      </c>
      <c r="AB10" s="10"/>
      <c r="AC10" s="8">
        <v>0</v>
      </c>
      <c r="AD10" s="9"/>
      <c r="AE10" s="9">
        <v>13.3</v>
      </c>
      <c r="AF10" s="9">
        <v>28.5</v>
      </c>
      <c r="AG10" s="9">
        <v>0</v>
      </c>
      <c r="AH10" s="9"/>
      <c r="AI10" s="9">
        <v>4</v>
      </c>
      <c r="AJ10" s="9">
        <v>55.29</v>
      </c>
      <c r="AK10" s="10">
        <v>0</v>
      </c>
    </row>
    <row r="14" spans="1:37" x14ac:dyDescent="0.2">
      <c r="B14" t="s">
        <v>5</v>
      </c>
    </row>
    <row r="17" spans="1:37" x14ac:dyDescent="0.2">
      <c r="A17" t="s">
        <v>0</v>
      </c>
      <c r="F17" t="s">
        <v>1</v>
      </c>
      <c r="O17" t="s">
        <v>6</v>
      </c>
      <c r="X17" t="s">
        <v>3</v>
      </c>
      <c r="AF17" t="s">
        <v>7</v>
      </c>
    </row>
    <row r="18" spans="1:37" x14ac:dyDescent="0.2">
      <c r="A18" s="2">
        <v>0</v>
      </c>
      <c r="B18">
        <f>B2^(1.5)/2</f>
        <v>0</v>
      </c>
      <c r="C18">
        <f t="shared" ref="C18:AK18" si="0">C2^(1.5)/2</f>
        <v>0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 s="11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 s="11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 s="11">
        <f t="shared" si="0"/>
        <v>0</v>
      </c>
      <c r="AC18">
        <f t="shared" si="0"/>
        <v>0</v>
      </c>
      <c r="AD18">
        <f t="shared" si="0"/>
        <v>0</v>
      </c>
      <c r="AE18">
        <f t="shared" si="0"/>
        <v>0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0</v>
      </c>
    </row>
    <row r="19" spans="1:37" x14ac:dyDescent="0.2">
      <c r="A19" s="2">
        <v>7</v>
      </c>
      <c r="B19">
        <f t="shared" ref="B19:AK19" si="1">B3^(1.5)/2</f>
        <v>91.359520576675578</v>
      </c>
      <c r="C19">
        <f t="shared" si="1"/>
        <v>112.9876221096807</v>
      </c>
      <c r="D19">
        <f t="shared" si="1"/>
        <v>81.338170621178833</v>
      </c>
      <c r="E19">
        <f t="shared" si="1"/>
        <v>74.478253537525944</v>
      </c>
      <c r="F19">
        <f t="shared" si="1"/>
        <v>61.751502006024118</v>
      </c>
      <c r="G19">
        <f t="shared" si="1"/>
        <v>102.64525317811822</v>
      </c>
      <c r="H19">
        <f t="shared" si="1"/>
        <v>66.287253676706229</v>
      </c>
      <c r="I19">
        <f t="shared" si="1"/>
        <v>70.148057706539532</v>
      </c>
      <c r="J19" s="11">
        <f t="shared" si="1"/>
        <v>81.747934224664007</v>
      </c>
      <c r="K19">
        <f t="shared" si="1"/>
        <v>91.359520576675578</v>
      </c>
      <c r="L19">
        <f t="shared" si="1"/>
        <v>112.9876221096807</v>
      </c>
      <c r="M19">
        <f t="shared" si="1"/>
        <v>81.338170621178833</v>
      </c>
      <c r="N19">
        <f t="shared" si="1"/>
        <v>74.478253537525944</v>
      </c>
      <c r="O19">
        <f t="shared" si="1"/>
        <v>61.751502006024118</v>
      </c>
      <c r="P19">
        <f t="shared" si="1"/>
        <v>102.64525317811822</v>
      </c>
      <c r="Q19">
        <f t="shared" si="1"/>
        <v>66.287253676706229</v>
      </c>
      <c r="R19">
        <f t="shared" si="1"/>
        <v>70.148057706539532</v>
      </c>
      <c r="S19" s="11">
        <f t="shared" si="1"/>
        <v>81.747934224664007</v>
      </c>
      <c r="T19">
        <f t="shared" si="1"/>
        <v>91.359520576675578</v>
      </c>
      <c r="U19">
        <f t="shared" si="1"/>
        <v>112.9876221096807</v>
      </c>
      <c r="V19">
        <f t="shared" si="1"/>
        <v>81.338170621178833</v>
      </c>
      <c r="W19">
        <f t="shared" si="1"/>
        <v>74.478253537525944</v>
      </c>
      <c r="X19">
        <f t="shared" si="1"/>
        <v>61.751502006024118</v>
      </c>
      <c r="Y19">
        <f t="shared" si="1"/>
        <v>102.64525317811822</v>
      </c>
      <c r="Z19">
        <f t="shared" si="1"/>
        <v>66.287253676706229</v>
      </c>
      <c r="AA19">
        <f t="shared" si="1"/>
        <v>70.148057706539532</v>
      </c>
      <c r="AB19" s="11">
        <f t="shared" si="1"/>
        <v>81.747934224664007</v>
      </c>
      <c r="AC19">
        <f t="shared" si="1"/>
        <v>91.359520576675578</v>
      </c>
      <c r="AD19">
        <f t="shared" si="1"/>
        <v>112.9876221096807</v>
      </c>
      <c r="AE19">
        <f t="shared" si="1"/>
        <v>81.338170621178833</v>
      </c>
      <c r="AF19">
        <f t="shared" si="1"/>
        <v>74.478253537525944</v>
      </c>
      <c r="AG19">
        <f t="shared" si="1"/>
        <v>61.751502006024118</v>
      </c>
      <c r="AH19">
        <f t="shared" si="1"/>
        <v>102.64525317811822</v>
      </c>
      <c r="AI19">
        <f t="shared" si="1"/>
        <v>66.287253676706229</v>
      </c>
      <c r="AJ19">
        <f t="shared" si="1"/>
        <v>70.148057706539532</v>
      </c>
      <c r="AK19">
        <f t="shared" si="1"/>
        <v>81.747934224664007</v>
      </c>
    </row>
    <row r="20" spans="1:37" x14ac:dyDescent="0.2">
      <c r="A20" s="2">
        <v>11</v>
      </c>
      <c r="B20">
        <f t="shared" ref="B20:AK20" si="2">B4^(1.5)/2</f>
        <v>144.44155652027567</v>
      </c>
      <c r="C20">
        <f t="shared" si="2"/>
        <v>260.81496889557542</v>
      </c>
      <c r="D20">
        <f t="shared" si="2"/>
        <v>241.73585584269455</v>
      </c>
      <c r="E20">
        <f t="shared" si="2"/>
        <v>178.90225264093237</v>
      </c>
      <c r="F20">
        <f t="shared" si="2"/>
        <v>97.382051734393031</v>
      </c>
      <c r="G20">
        <f t="shared" si="2"/>
        <v>211.21881249074372</v>
      </c>
      <c r="H20">
        <f t="shared" si="2"/>
        <v>337.83612891459683</v>
      </c>
      <c r="I20">
        <f t="shared" si="2"/>
        <v>285.95575225898131</v>
      </c>
      <c r="J20" s="11">
        <f t="shared" si="2"/>
        <v>122.2461359307524</v>
      </c>
      <c r="K20">
        <f t="shared" si="2"/>
        <v>101.32080857356013</v>
      </c>
      <c r="L20">
        <f t="shared" si="2"/>
        <v>113.44475307390829</v>
      </c>
      <c r="M20">
        <f t="shared" si="2"/>
        <v>112.9876221096807</v>
      </c>
      <c r="N20">
        <f t="shared" si="2"/>
        <v>62.499999999999972</v>
      </c>
      <c r="O20">
        <f t="shared" si="2"/>
        <v>163.16894925199475</v>
      </c>
      <c r="P20">
        <f t="shared" si="2"/>
        <v>139.02227879012773</v>
      </c>
      <c r="Q20">
        <f t="shared" si="2"/>
        <v>94.785283667877493</v>
      </c>
      <c r="R20">
        <f t="shared" si="2"/>
        <v>80.929093965025913</v>
      </c>
      <c r="S20" s="11">
        <f t="shared" si="2"/>
        <v>134.15596893168788</v>
      </c>
      <c r="T20">
        <f t="shared" si="2"/>
        <v>150.93458848123578</v>
      </c>
      <c r="U20">
        <f t="shared" si="2"/>
        <v>87.9760535600455</v>
      </c>
      <c r="V20">
        <f t="shared" si="2"/>
        <v>112.53110681051707</v>
      </c>
      <c r="W20">
        <f t="shared" si="2"/>
        <v>7.3484692283495354</v>
      </c>
      <c r="X20">
        <f t="shared" si="2"/>
        <v>239.38511231904107</v>
      </c>
      <c r="Y20">
        <f t="shared" si="2"/>
        <v>158.54386222746049</v>
      </c>
      <c r="Z20">
        <f t="shared" si="2"/>
        <v>114.36085868862652</v>
      </c>
      <c r="AA20">
        <f t="shared" si="2"/>
        <v>139.02227879012773</v>
      </c>
      <c r="AB20" s="11">
        <f t="shared" si="2"/>
        <v>125.54360995287654</v>
      </c>
      <c r="AC20">
        <f t="shared" si="2"/>
        <v>42.724068158357738</v>
      </c>
      <c r="AD20">
        <f t="shared" si="2"/>
        <v>26.191601707417576</v>
      </c>
      <c r="AE20">
        <f t="shared" si="2"/>
        <v>25.354255066950792</v>
      </c>
      <c r="AF20">
        <f t="shared" si="2"/>
        <v>55.152062518096272</v>
      </c>
      <c r="AG20">
        <f t="shared" si="2"/>
        <v>3.9999999999999991</v>
      </c>
      <c r="AH20">
        <f t="shared" si="2"/>
        <v>104.86536248924139</v>
      </c>
      <c r="AI20">
        <f t="shared" si="2"/>
        <v>89.239863570043596</v>
      </c>
      <c r="AJ20">
        <f t="shared" si="2"/>
        <v>72.499268961831632</v>
      </c>
      <c r="AK20">
        <f t="shared" si="2"/>
        <v>58.787753826796298</v>
      </c>
    </row>
    <row r="21" spans="1:37" x14ac:dyDescent="0.2">
      <c r="A21" s="2">
        <v>14</v>
      </c>
      <c r="B21">
        <f t="shared" ref="B21:AK21" si="3">B5^(1.5)/2</f>
        <v>161.10788310942442</v>
      </c>
      <c r="C21">
        <f t="shared" si="3"/>
        <v>428.33129934666238</v>
      </c>
      <c r="D21">
        <f t="shared" si="3"/>
        <v>470.3020306143701</v>
      </c>
      <c r="E21">
        <f t="shared" si="3"/>
        <v>339.15322790738685</v>
      </c>
      <c r="F21">
        <f t="shared" si="3"/>
        <v>131.26404686737337</v>
      </c>
      <c r="G21">
        <f t="shared" si="3"/>
        <v>307.38130514069974</v>
      </c>
      <c r="H21">
        <f t="shared" si="3"/>
        <v>608.59346036578461</v>
      </c>
      <c r="I21">
        <f t="shared" si="3"/>
        <v>329.31675215512513</v>
      </c>
      <c r="J21" s="11">
        <f t="shared" si="3"/>
        <v>183.715606985362</v>
      </c>
      <c r="K21">
        <f t="shared" si="3"/>
        <v>45.731354123839381</v>
      </c>
      <c r="L21">
        <f t="shared" si="3"/>
        <v>255.40023443607066</v>
      </c>
      <c r="M21">
        <f t="shared" si="3"/>
        <v>55.152062518096272</v>
      </c>
      <c r="N21">
        <f t="shared" si="3"/>
        <v>307.38130514069974</v>
      </c>
      <c r="O21">
        <f t="shared" si="3"/>
        <v>356.43007448867166</v>
      </c>
      <c r="P21">
        <f t="shared" si="3"/>
        <v>263.83947629193023</v>
      </c>
      <c r="Q21">
        <f t="shared" si="3"/>
        <v>148.42601271340553</v>
      </c>
      <c r="R21">
        <f t="shared" si="3"/>
        <v>203.94545839513071</v>
      </c>
      <c r="S21" s="11">
        <f t="shared" si="3"/>
        <v>132.70738204787244</v>
      </c>
      <c r="T21">
        <f t="shared" si="3"/>
        <v>197.30742003280054</v>
      </c>
      <c r="U21">
        <f t="shared" si="3"/>
        <v>83.393835203808678</v>
      </c>
      <c r="V21">
        <f t="shared" si="3"/>
        <v>126.4911064067352</v>
      </c>
      <c r="W21">
        <f t="shared" si="3"/>
        <v>30.80753154668513</v>
      </c>
      <c r="X21">
        <f t="shared" si="3"/>
        <v>227.1701295285101</v>
      </c>
      <c r="Y21">
        <f t="shared" si="3"/>
        <v>137.5563221011669</v>
      </c>
      <c r="Z21">
        <f t="shared" si="3"/>
        <v>110.71121894370054</v>
      </c>
      <c r="AA21">
        <f t="shared" si="3"/>
        <v>93.924906175092815</v>
      </c>
      <c r="AB21" s="11">
        <f t="shared" si="3"/>
        <v>198.40866916543746</v>
      </c>
      <c r="AC21">
        <f t="shared" si="3"/>
        <v>19.499198701485142</v>
      </c>
      <c r="AD21">
        <f t="shared" si="3"/>
        <v>15.105239157325508</v>
      </c>
      <c r="AE21">
        <f t="shared" si="3"/>
        <v>7.3484692283495354</v>
      </c>
      <c r="AF21">
        <f t="shared" si="3"/>
        <v>45.731354123839381</v>
      </c>
      <c r="AG21">
        <f t="shared" si="3"/>
        <v>3.9999999999999991</v>
      </c>
      <c r="AH21">
        <f t="shared" si="3"/>
        <v>42.065092416396759</v>
      </c>
      <c r="AI21">
        <f t="shared" si="3"/>
        <v>39.785754360072147</v>
      </c>
      <c r="AJ21">
        <f t="shared" si="3"/>
        <v>185.86851064663975</v>
      </c>
      <c r="AK21">
        <f t="shared" si="3"/>
        <v>3.9999999999999991</v>
      </c>
    </row>
    <row r="22" spans="1:37" x14ac:dyDescent="0.2">
      <c r="A22" s="2">
        <v>17</v>
      </c>
      <c r="B22">
        <f t="shared" ref="B22:AK22" si="4">B6^(1.5)/2</f>
        <v>242.91409592693472</v>
      </c>
      <c r="C22">
        <f t="shared" si="4"/>
        <v>904.81477731633015</v>
      </c>
      <c r="D22">
        <f t="shared" si="4"/>
        <v>726.62441931853573</v>
      </c>
      <c r="E22">
        <f t="shared" si="4"/>
        <v>554.18429042151672</v>
      </c>
      <c r="F22">
        <f t="shared" si="4"/>
        <v>255.99999999999974</v>
      </c>
      <c r="G22">
        <f t="shared" si="4"/>
        <v>485.07525189397188</v>
      </c>
      <c r="H22">
        <f t="shared" si="4"/>
        <v>1662.810598955876</v>
      </c>
      <c r="I22">
        <f t="shared" si="4"/>
        <v>608.59346036578461</v>
      </c>
      <c r="J22" s="11">
        <f t="shared" si="4"/>
        <v>453.50219211157065</v>
      </c>
      <c r="K22">
        <f t="shared" si="4"/>
        <v>509.02694624155197</v>
      </c>
      <c r="L22">
        <f t="shared" si="4"/>
        <v>364.50000000000006</v>
      </c>
      <c r="M22">
        <f t="shared" si="4"/>
        <v>47.089656507560136</v>
      </c>
      <c r="N22">
        <f t="shared" si="4"/>
        <v>810.56646858848126</v>
      </c>
      <c r="O22">
        <f t="shared" si="4"/>
        <v>386.31194907742656</v>
      </c>
      <c r="P22">
        <f t="shared" si="4"/>
        <v>514.31747466909962</v>
      </c>
      <c r="Q22">
        <f t="shared" si="4"/>
        <v>218.57663187083838</v>
      </c>
      <c r="R22">
        <f t="shared" si="4"/>
        <v>364.50000000000006</v>
      </c>
      <c r="S22" s="11">
        <f t="shared" si="4"/>
        <v>244.68503274618172</v>
      </c>
      <c r="T22">
        <f t="shared" si="4"/>
        <v>276.0530823048349</v>
      </c>
      <c r="U22">
        <f t="shared" si="4"/>
        <v>176.24663046424459</v>
      </c>
      <c r="V22">
        <f t="shared" si="4"/>
        <v>246.4602523734811</v>
      </c>
      <c r="W22">
        <f t="shared" si="4"/>
        <v>38.821926794016797</v>
      </c>
      <c r="X22">
        <f t="shared" si="4"/>
        <v>243.50393169310425</v>
      </c>
      <c r="Y22">
        <f t="shared" si="4"/>
        <v>172.55107070082181</v>
      </c>
      <c r="Z22">
        <f t="shared" si="4"/>
        <v>121.77746096876869</v>
      </c>
      <c r="AA22">
        <f t="shared" si="4"/>
        <v>109.80499077910802</v>
      </c>
      <c r="AB22" s="11">
        <f t="shared" si="4"/>
        <v>284.71156588730292</v>
      </c>
      <c r="AC22">
        <f t="shared" si="4"/>
        <v>12.172756466799125</v>
      </c>
      <c r="AD22">
        <f t="shared" si="4"/>
        <v>0</v>
      </c>
      <c r="AE22">
        <f t="shared" si="4"/>
        <v>8.8661152710756035</v>
      </c>
      <c r="AF22">
        <f t="shared" si="4"/>
        <v>70.148057706539532</v>
      </c>
      <c r="AG22">
        <f t="shared" si="4"/>
        <v>0</v>
      </c>
      <c r="AH22">
        <f t="shared" si="4"/>
        <v>32.300468262859575</v>
      </c>
      <c r="AI22">
        <f t="shared" si="4"/>
        <v>0</v>
      </c>
      <c r="AJ22">
        <f t="shared" si="4"/>
        <v>352.41775210678588</v>
      </c>
      <c r="AK22">
        <f t="shared" si="4"/>
        <v>3.9999999999999991</v>
      </c>
    </row>
    <row r="23" spans="1:37" x14ac:dyDescent="0.2">
      <c r="A23" s="2">
        <v>20</v>
      </c>
      <c r="B23">
        <f t="shared" ref="B23:AK23" si="5">B7^(1.5)/2</f>
        <v>464.43551974413003</v>
      </c>
      <c r="C23">
        <f t="shared" si="5"/>
        <v>1011.9288512538809</v>
      </c>
      <c r="D23">
        <f t="shared" si="5"/>
        <v>686.2311700513178</v>
      </c>
      <c r="E23">
        <f t="shared" si="5"/>
        <v>637.6479781195892</v>
      </c>
      <c r="F23">
        <f t="shared" si="5"/>
        <v>306.48892871358333</v>
      </c>
      <c r="G23">
        <f t="shared" si="5"/>
        <v>587.10090636107827</v>
      </c>
      <c r="H23">
        <f t="shared" si="5"/>
        <v>2364.6446804633783</v>
      </c>
      <c r="I23">
        <f t="shared" si="5"/>
        <v>1052.226114417429</v>
      </c>
      <c r="J23" s="11">
        <f t="shared" si="5"/>
        <v>526.85991707355197</v>
      </c>
      <c r="K23">
        <f t="shared" si="5"/>
        <v>485.14950000000033</v>
      </c>
      <c r="L23">
        <f t="shared" si="5"/>
        <v>364.43250208337599</v>
      </c>
      <c r="M23">
        <f t="shared" si="5"/>
        <v>68.054173523745035</v>
      </c>
      <c r="N23">
        <f t="shared" si="5"/>
        <v>884.78243752348465</v>
      </c>
      <c r="O23">
        <f t="shared" si="5"/>
        <v>508.64974955144703</v>
      </c>
      <c r="P23">
        <f t="shared" si="5"/>
        <v>672.35922922330064</v>
      </c>
      <c r="Q23">
        <f t="shared" si="5"/>
        <v>400.99333285230551</v>
      </c>
      <c r="R23">
        <f t="shared" si="5"/>
        <v>749.68176581800321</v>
      </c>
      <c r="S23" s="11">
        <f t="shared" si="5"/>
        <v>346.95878878910065</v>
      </c>
      <c r="T23">
        <f t="shared" si="5"/>
        <v>335.53532028126335</v>
      </c>
      <c r="U23">
        <f t="shared" si="5"/>
        <v>434.04233664471008</v>
      </c>
      <c r="V23">
        <f t="shared" si="5"/>
        <v>653.98347379731274</v>
      </c>
      <c r="W23">
        <f t="shared" si="5"/>
        <v>35.542332844088897</v>
      </c>
      <c r="X23">
        <f t="shared" si="5"/>
        <v>351.41703950754868</v>
      </c>
      <c r="Y23">
        <f t="shared" si="5"/>
        <v>228.26650000000004</v>
      </c>
      <c r="Z23">
        <f t="shared" si="5"/>
        <v>195.11106068083376</v>
      </c>
      <c r="AA23">
        <f t="shared" si="5"/>
        <v>183.98426248934985</v>
      </c>
      <c r="AB23" s="11">
        <f t="shared" si="5"/>
        <v>307.0625</v>
      </c>
      <c r="AC23">
        <f t="shared" si="5"/>
        <v>0</v>
      </c>
      <c r="AD23">
        <f t="shared" si="5"/>
        <v>0</v>
      </c>
      <c r="AE23">
        <f t="shared" si="5"/>
        <v>3.9999999999999991</v>
      </c>
      <c r="AF23">
        <f t="shared" si="5"/>
        <v>45.562499999999993</v>
      </c>
      <c r="AG23">
        <f t="shared" si="5"/>
        <v>0</v>
      </c>
      <c r="AH23">
        <f t="shared" si="5"/>
        <v>85.466531461151575</v>
      </c>
      <c r="AI23">
        <f t="shared" si="5"/>
        <v>0</v>
      </c>
      <c r="AJ23">
        <f t="shared" si="5"/>
        <v>422.92921877779946</v>
      </c>
      <c r="AK23">
        <f t="shared" si="5"/>
        <v>0</v>
      </c>
    </row>
    <row r="24" spans="1:37" x14ac:dyDescent="0.2">
      <c r="A24" s="2">
        <v>23</v>
      </c>
      <c r="B24">
        <f t="shared" ref="B24:AK24" si="6">B8^(1.5)/2</f>
        <v>500.00000000000034</v>
      </c>
      <c r="C24">
        <f t="shared" si="6"/>
        <v>1556.068</v>
      </c>
      <c r="E24">
        <f t="shared" si="6"/>
        <v>1342.392521583479</v>
      </c>
      <c r="G24">
        <f t="shared" si="6"/>
        <v>1098.5000000000005</v>
      </c>
      <c r="H24">
        <f t="shared" si="6"/>
        <v>3857.4602589392989</v>
      </c>
      <c r="I24">
        <f t="shared" si="6"/>
        <v>2183.8594533531664</v>
      </c>
      <c r="J24" s="11">
        <f t="shared" si="6"/>
        <v>864.90015623192005</v>
      </c>
      <c r="K24">
        <f t="shared" si="6"/>
        <v>900.5225926686968</v>
      </c>
      <c r="M24">
        <f t="shared" si="6"/>
        <v>171.49999999999991</v>
      </c>
      <c r="N24">
        <f t="shared" si="6"/>
        <v>893.77848800597747</v>
      </c>
      <c r="O24">
        <f t="shared" si="6"/>
        <v>689.56778473910708</v>
      </c>
      <c r="P24">
        <f t="shared" si="6"/>
        <v>1095.7711310816694</v>
      </c>
      <c r="R24">
        <f t="shared" si="6"/>
        <v>818.33206021027991</v>
      </c>
      <c r="S24" s="11"/>
      <c r="T24">
        <f t="shared" si="6"/>
        <v>804.23118634382774</v>
      </c>
      <c r="U24">
        <f t="shared" si="6"/>
        <v>1226.5443005930306</v>
      </c>
      <c r="V24">
        <f t="shared" si="6"/>
        <v>675.50741481145099</v>
      </c>
      <c r="W24">
        <f t="shared" si="6"/>
        <v>139.75719737727277</v>
      </c>
      <c r="X24">
        <f t="shared" si="6"/>
        <v>773.41161572848728</v>
      </c>
      <c r="Y24">
        <f t="shared" si="6"/>
        <v>236.57434626772212</v>
      </c>
      <c r="Z24">
        <f t="shared" si="6"/>
        <v>318.28603488057752</v>
      </c>
      <c r="AA24">
        <f t="shared" si="6"/>
        <v>303.94405232542357</v>
      </c>
      <c r="AB24" s="11">
        <f t="shared" si="6"/>
        <v>554.18429042151672</v>
      </c>
      <c r="AC24">
        <f t="shared" si="6"/>
        <v>0</v>
      </c>
      <c r="AD24">
        <f t="shared" si="6"/>
        <v>0</v>
      </c>
      <c r="AE24">
        <f t="shared" si="6"/>
        <v>21.437500000000004</v>
      </c>
      <c r="AF24">
        <f t="shared" si="6"/>
        <v>46.408848832954284</v>
      </c>
      <c r="AG24">
        <f t="shared" si="6"/>
        <v>0</v>
      </c>
      <c r="AH24">
        <f t="shared" si="6"/>
        <v>407.14089944391492</v>
      </c>
      <c r="AI24">
        <f t="shared" si="6"/>
        <v>3.9999999999999991</v>
      </c>
      <c r="AJ24">
        <f t="shared" si="6"/>
        <v>93.753144715257434</v>
      </c>
      <c r="AK24">
        <f t="shared" si="6"/>
        <v>0</v>
      </c>
    </row>
    <row r="25" spans="1:37" x14ac:dyDescent="0.2">
      <c r="A25" s="2">
        <v>26</v>
      </c>
      <c r="B25">
        <f t="shared" ref="B25:AK26" si="7">B9^(1.5)/2</f>
        <v>482.47895605015805</v>
      </c>
      <c r="C25">
        <f t="shared" si="7"/>
        <v>2072.0468141429628</v>
      </c>
      <c r="E25">
        <f t="shared" si="7"/>
        <v>1781.5017950841366</v>
      </c>
      <c r="G25">
        <f t="shared" si="7"/>
        <v>1257.6260013786887</v>
      </c>
      <c r="H25">
        <f t="shared" si="7"/>
        <v>4788.889511149745</v>
      </c>
      <c r="I25">
        <f t="shared" si="7"/>
        <v>1971.0895961291956</v>
      </c>
      <c r="J25" s="11"/>
      <c r="K25">
        <f t="shared" si="7"/>
        <v>1738.6045313273514</v>
      </c>
      <c r="M25">
        <f t="shared" si="7"/>
        <v>108.00000000000003</v>
      </c>
      <c r="N25">
        <f t="shared" si="7"/>
        <v>1027.7177703893226</v>
      </c>
      <c r="P25">
        <f t="shared" si="7"/>
        <v>1714.7980742997115</v>
      </c>
      <c r="R25">
        <f t="shared" si="7"/>
        <v>1689.5254049460164</v>
      </c>
      <c r="S25" s="11"/>
      <c r="T25">
        <f t="shared" si="7"/>
        <v>968.97860001962943</v>
      </c>
      <c r="U25">
        <f t="shared" si="7"/>
        <v>1581.2107270715849</v>
      </c>
      <c r="V25">
        <f t="shared" si="7"/>
        <v>828.25116963394566</v>
      </c>
      <c r="W25">
        <f t="shared" si="7"/>
        <v>207.73938627039411</v>
      </c>
      <c r="X25">
        <f t="shared" si="7"/>
        <v>872.74468509882718</v>
      </c>
      <c r="Y25">
        <f t="shared" si="7"/>
        <v>206.06272156312042</v>
      </c>
      <c r="Z25">
        <f t="shared" si="7"/>
        <v>331.27631970909118</v>
      </c>
      <c r="AA25">
        <f t="shared" si="7"/>
        <v>214.88722471042817</v>
      </c>
      <c r="AB25" s="11">
        <f t="shared" si="7"/>
        <v>530.29802941364949</v>
      </c>
      <c r="AC25">
        <f t="shared" si="7"/>
        <v>0</v>
      </c>
      <c r="AD25">
        <f t="shared" si="7"/>
        <v>0</v>
      </c>
      <c r="AE25">
        <f t="shared" si="7"/>
        <v>25.326499999999989</v>
      </c>
      <c r="AF25">
        <f t="shared" si="7"/>
        <v>58.824500000000015</v>
      </c>
      <c r="AG25">
        <f t="shared" si="7"/>
        <v>0</v>
      </c>
      <c r="AH25">
        <f t="shared" si="7"/>
        <v>430.32729363590221</v>
      </c>
      <c r="AI25">
        <f t="shared" si="7"/>
        <v>3.9999999999999991</v>
      </c>
      <c r="AJ25">
        <f t="shared" si="7"/>
        <v>151.08554822268746</v>
      </c>
      <c r="AK25">
        <f t="shared" si="7"/>
        <v>0</v>
      </c>
    </row>
    <row r="26" spans="1:37" x14ac:dyDescent="0.2">
      <c r="A26" s="2">
        <v>29</v>
      </c>
      <c r="C26">
        <f t="shared" si="7"/>
        <v>3594.3837509715081</v>
      </c>
      <c r="E26">
        <f t="shared" si="7"/>
        <v>2058.56906980747</v>
      </c>
      <c r="G26">
        <f t="shared" si="7"/>
        <v>2262.7894431431296</v>
      </c>
      <c r="I26">
        <f t="shared" si="7"/>
        <v>3850.9414433356392</v>
      </c>
      <c r="J26" s="11"/>
      <c r="K26">
        <f t="shared" si="7"/>
        <v>2090.1432292429131</v>
      </c>
      <c r="M26">
        <f t="shared" si="7"/>
        <v>119.16399999999996</v>
      </c>
      <c r="N26">
        <f t="shared" si="7"/>
        <v>950.98794531673695</v>
      </c>
      <c r="R26">
        <f t="shared" si="7"/>
        <v>2544.0950010901247</v>
      </c>
      <c r="S26" s="11"/>
      <c r="T26">
        <f t="shared" si="7"/>
        <v>1461.6745209797039</v>
      </c>
      <c r="U26">
        <f t="shared" si="7"/>
        <v>1760.6941753280146</v>
      </c>
      <c r="V26">
        <f t="shared" si="7"/>
        <v>1309.4846314485717</v>
      </c>
      <c r="W26">
        <f t="shared" si="7"/>
        <v>339.68054564251986</v>
      </c>
      <c r="X26">
        <f t="shared" si="7"/>
        <v>1479.9430823831528</v>
      </c>
      <c r="Y26">
        <f t="shared" si="7"/>
        <v>350.08423240878733</v>
      </c>
      <c r="Z26">
        <f t="shared" si="7"/>
        <v>384.9363583762904</v>
      </c>
      <c r="AA26">
        <f t="shared" si="7"/>
        <v>379.45038147299323</v>
      </c>
      <c r="AB26" s="11"/>
      <c r="AC26">
        <f t="shared" si="7"/>
        <v>0</v>
      </c>
      <c r="AD26">
        <f t="shared" si="7"/>
        <v>0</v>
      </c>
      <c r="AE26">
        <f t="shared" si="7"/>
        <v>24.251994763317924</v>
      </c>
      <c r="AF26">
        <f t="shared" si="7"/>
        <v>76.074182545723062</v>
      </c>
      <c r="AG26">
        <f t="shared" si="7"/>
        <v>0</v>
      </c>
      <c r="AI26">
        <f t="shared" si="7"/>
        <v>3.9999999999999991</v>
      </c>
      <c r="AJ26">
        <f t="shared" si="7"/>
        <v>205.56060595904538</v>
      </c>
      <c r="AK26">
        <f t="shared" si="7"/>
        <v>0</v>
      </c>
    </row>
    <row r="31" spans="1:37" x14ac:dyDescent="0.2">
      <c r="B31" t="s">
        <v>8</v>
      </c>
    </row>
    <row r="33" spans="1:37" x14ac:dyDescent="0.2">
      <c r="A33" t="s">
        <v>0</v>
      </c>
      <c r="F33" t="s">
        <v>1</v>
      </c>
      <c r="O33" t="s">
        <v>6</v>
      </c>
      <c r="X33" t="s">
        <v>3</v>
      </c>
      <c r="AF33" t="s">
        <v>9</v>
      </c>
    </row>
    <row r="34" spans="1:37" x14ac:dyDescent="0.2">
      <c r="A34" s="2">
        <v>0</v>
      </c>
      <c r="B34">
        <f>10^6/100000</f>
        <v>10</v>
      </c>
      <c r="C34">
        <f t="shared" ref="C34:AK34" si="8">10^6/100000</f>
        <v>10</v>
      </c>
      <c r="D34">
        <f t="shared" si="8"/>
        <v>10</v>
      </c>
      <c r="E34">
        <f t="shared" si="8"/>
        <v>10</v>
      </c>
      <c r="F34">
        <f t="shared" si="8"/>
        <v>10</v>
      </c>
      <c r="G34">
        <f t="shared" si="8"/>
        <v>10</v>
      </c>
      <c r="H34">
        <f t="shared" si="8"/>
        <v>10</v>
      </c>
      <c r="I34">
        <f t="shared" si="8"/>
        <v>10</v>
      </c>
      <c r="J34" s="11">
        <f t="shared" si="8"/>
        <v>10</v>
      </c>
      <c r="K34">
        <f t="shared" si="8"/>
        <v>10</v>
      </c>
      <c r="L34">
        <f t="shared" si="8"/>
        <v>10</v>
      </c>
      <c r="M34">
        <f t="shared" si="8"/>
        <v>10</v>
      </c>
      <c r="N34">
        <f t="shared" si="8"/>
        <v>10</v>
      </c>
      <c r="O34">
        <f t="shared" si="8"/>
        <v>10</v>
      </c>
      <c r="P34">
        <f t="shared" si="8"/>
        <v>10</v>
      </c>
      <c r="Q34">
        <f t="shared" si="8"/>
        <v>10</v>
      </c>
      <c r="R34">
        <f t="shared" si="8"/>
        <v>10</v>
      </c>
      <c r="S34" s="11">
        <f t="shared" si="8"/>
        <v>10</v>
      </c>
      <c r="T34">
        <f t="shared" si="8"/>
        <v>10</v>
      </c>
      <c r="U34">
        <f t="shared" si="8"/>
        <v>10</v>
      </c>
      <c r="V34">
        <f t="shared" si="8"/>
        <v>10</v>
      </c>
      <c r="W34">
        <f t="shared" si="8"/>
        <v>10</v>
      </c>
      <c r="X34">
        <f t="shared" si="8"/>
        <v>10</v>
      </c>
      <c r="Y34">
        <f t="shared" si="8"/>
        <v>10</v>
      </c>
      <c r="Z34">
        <f t="shared" si="8"/>
        <v>10</v>
      </c>
      <c r="AA34">
        <f t="shared" si="8"/>
        <v>10</v>
      </c>
      <c r="AB34" s="11">
        <f t="shared" si="8"/>
        <v>10</v>
      </c>
      <c r="AC34">
        <f t="shared" si="8"/>
        <v>10</v>
      </c>
      <c r="AD34">
        <f t="shared" si="8"/>
        <v>10</v>
      </c>
      <c r="AE34">
        <f t="shared" si="8"/>
        <v>10</v>
      </c>
      <c r="AF34">
        <f t="shared" si="8"/>
        <v>10</v>
      </c>
      <c r="AG34">
        <f t="shared" si="8"/>
        <v>10</v>
      </c>
      <c r="AH34">
        <f t="shared" si="8"/>
        <v>10</v>
      </c>
      <c r="AI34">
        <f t="shared" si="8"/>
        <v>10</v>
      </c>
      <c r="AJ34">
        <f t="shared" si="8"/>
        <v>10</v>
      </c>
      <c r="AK34">
        <f t="shared" si="8"/>
        <v>10</v>
      </c>
    </row>
    <row r="35" spans="1:37" x14ac:dyDescent="0.2">
      <c r="A35" s="2">
        <v>7</v>
      </c>
      <c r="B35">
        <f>((B19/(1+0.3/(8*0.7)))/0.000004)/100000</f>
        <v>216.78530306329799</v>
      </c>
      <c r="C35">
        <f t="shared" ref="C35:AK42" si="9">((C19/(1+0.3/(8*0.7)))/0.000004)/100000</f>
        <v>268.10622195517453</v>
      </c>
      <c r="D35">
        <f t="shared" si="9"/>
        <v>193.00582859262772</v>
      </c>
      <c r="E35">
        <f t="shared" si="9"/>
        <v>176.728059241587</v>
      </c>
      <c r="F35">
        <f t="shared" si="9"/>
        <v>146.52898781090471</v>
      </c>
      <c r="G35">
        <f t="shared" si="9"/>
        <v>243.56500754129749</v>
      </c>
      <c r="H35">
        <f t="shared" si="9"/>
        <v>157.29178838540463</v>
      </c>
      <c r="I35">
        <f t="shared" si="9"/>
        <v>166.45301828670398</v>
      </c>
      <c r="J35">
        <f t="shared" si="9"/>
        <v>193.97814900767733</v>
      </c>
      <c r="K35">
        <f>((K19/(1+0.3/(8*0.7)))/0.000004)/100000</f>
        <v>216.78530306329799</v>
      </c>
      <c r="L35">
        <f t="shared" si="9"/>
        <v>268.10622195517453</v>
      </c>
      <c r="M35">
        <f t="shared" si="9"/>
        <v>193.00582859262772</v>
      </c>
      <c r="N35">
        <f t="shared" si="9"/>
        <v>176.728059241587</v>
      </c>
      <c r="O35">
        <f t="shared" si="9"/>
        <v>146.52898781090471</v>
      </c>
      <c r="P35">
        <f t="shared" si="9"/>
        <v>243.56500754129749</v>
      </c>
      <c r="Q35">
        <f t="shared" si="9"/>
        <v>157.29178838540463</v>
      </c>
      <c r="R35">
        <f t="shared" si="9"/>
        <v>166.45301828670398</v>
      </c>
      <c r="S35">
        <f t="shared" si="9"/>
        <v>193.97814900767733</v>
      </c>
      <c r="T35">
        <f t="shared" si="9"/>
        <v>216.78530306329799</v>
      </c>
      <c r="U35">
        <f t="shared" si="9"/>
        <v>268.10622195517453</v>
      </c>
      <c r="V35">
        <f t="shared" si="9"/>
        <v>193.00582859262772</v>
      </c>
      <c r="W35">
        <f t="shared" si="9"/>
        <v>176.728059241587</v>
      </c>
      <c r="X35">
        <f t="shared" si="9"/>
        <v>146.52898781090471</v>
      </c>
      <c r="Y35">
        <f t="shared" si="9"/>
        <v>243.56500754129749</v>
      </c>
      <c r="Z35">
        <f t="shared" si="9"/>
        <v>157.29178838540463</v>
      </c>
      <c r="AA35">
        <f t="shared" si="9"/>
        <v>166.45301828670398</v>
      </c>
      <c r="AB35">
        <f t="shared" si="9"/>
        <v>193.97814900767733</v>
      </c>
      <c r="AC35">
        <f t="shared" si="9"/>
        <v>216.78530306329799</v>
      </c>
      <c r="AD35">
        <f t="shared" si="9"/>
        <v>268.10622195517453</v>
      </c>
      <c r="AE35">
        <f t="shared" si="9"/>
        <v>193.00582859262772</v>
      </c>
      <c r="AF35">
        <f t="shared" si="9"/>
        <v>176.728059241587</v>
      </c>
      <c r="AG35">
        <f t="shared" si="9"/>
        <v>146.52898781090471</v>
      </c>
      <c r="AH35">
        <f t="shared" si="9"/>
        <v>243.56500754129749</v>
      </c>
      <c r="AI35">
        <f t="shared" si="9"/>
        <v>157.29178838540463</v>
      </c>
      <c r="AJ35">
        <f t="shared" si="9"/>
        <v>166.45301828670398</v>
      </c>
      <c r="AK35">
        <f t="shared" si="9"/>
        <v>193.97814900767733</v>
      </c>
    </row>
    <row r="36" spans="1:37" x14ac:dyDescent="0.2">
      <c r="A36" s="2">
        <v>11</v>
      </c>
      <c r="B36">
        <f t="shared" ref="B36:Q41" si="10">((B20/(1+0.3/(8*0.7)))/0.000004)/100000</f>
        <v>342.7426764887897</v>
      </c>
      <c r="C36">
        <f t="shared" si="10"/>
        <v>618.88297704034846</v>
      </c>
      <c r="D36">
        <f t="shared" si="10"/>
        <v>573.61050538944471</v>
      </c>
      <c r="E36">
        <f t="shared" si="10"/>
        <v>424.51381982594125</v>
      </c>
      <c r="F36">
        <f t="shared" si="10"/>
        <v>231.07605496296651</v>
      </c>
      <c r="G36">
        <f t="shared" si="10"/>
        <v>501.19718218142577</v>
      </c>
      <c r="H36">
        <f t="shared" si="10"/>
        <v>801.64505166175513</v>
      </c>
      <c r="I36">
        <f t="shared" si="10"/>
        <v>678.53907315690492</v>
      </c>
      <c r="J36">
        <f t="shared" si="10"/>
        <v>290.07557678483624</v>
      </c>
      <c r="K36">
        <f t="shared" si="10"/>
        <v>240.42225763217658</v>
      </c>
      <c r="L36">
        <f t="shared" si="10"/>
        <v>269.19093949740949</v>
      </c>
      <c r="M36">
        <f t="shared" si="10"/>
        <v>268.10622195517453</v>
      </c>
      <c r="N36">
        <f t="shared" si="10"/>
        <v>148.30508474576266</v>
      </c>
      <c r="O36">
        <f t="shared" si="10"/>
        <v>387.18055754710622</v>
      </c>
      <c r="P36">
        <f t="shared" si="10"/>
        <v>329.88337340030307</v>
      </c>
      <c r="Q36">
        <f t="shared" si="10"/>
        <v>224.91423243225168</v>
      </c>
      <c r="R36">
        <f t="shared" si="9"/>
        <v>192.03513822209538</v>
      </c>
      <c r="S36">
        <f t="shared" si="9"/>
        <v>318.33619746502211</v>
      </c>
      <c r="T36">
        <f t="shared" si="9"/>
        <v>358.14987097242386</v>
      </c>
      <c r="U36">
        <f t="shared" si="9"/>
        <v>208.75673726112493</v>
      </c>
      <c r="V36">
        <f t="shared" si="9"/>
        <v>267.02296531309133</v>
      </c>
      <c r="W36">
        <f t="shared" si="9"/>
        <v>17.43704562659212</v>
      </c>
      <c r="X36">
        <f t="shared" si="9"/>
        <v>568.03246990958894</v>
      </c>
      <c r="Y36">
        <f t="shared" si="9"/>
        <v>376.20577477702489</v>
      </c>
      <c r="Z36">
        <f t="shared" si="9"/>
        <v>271.36474943063922</v>
      </c>
      <c r="AA36">
        <f t="shared" si="9"/>
        <v>329.88337340030307</v>
      </c>
      <c r="AB36">
        <f t="shared" si="9"/>
        <v>297.90009141360531</v>
      </c>
      <c r="AC36">
        <f t="shared" si="9"/>
        <v>101.3791447825438</v>
      </c>
      <c r="AD36">
        <f t="shared" si="9"/>
        <v>62.149563373533233</v>
      </c>
      <c r="AE36">
        <f t="shared" si="9"/>
        <v>60.162639141917133</v>
      </c>
      <c r="AF36">
        <f t="shared" si="9"/>
        <v>130.86930089039794</v>
      </c>
      <c r="AG36">
        <f t="shared" si="9"/>
        <v>9.4915254237288114</v>
      </c>
      <c r="AH36">
        <f t="shared" si="9"/>
        <v>248.83306353379314</v>
      </c>
      <c r="AI36">
        <f t="shared" si="9"/>
        <v>211.75560847128992</v>
      </c>
      <c r="AJ36">
        <f t="shared" si="9"/>
        <v>172.03216363824458</v>
      </c>
      <c r="AK36">
        <f t="shared" si="9"/>
        <v>139.49636501273699</v>
      </c>
    </row>
    <row r="37" spans="1:37" x14ac:dyDescent="0.2">
      <c r="A37" s="2">
        <v>14</v>
      </c>
      <c r="B37">
        <f t="shared" si="10"/>
        <v>382.28989212405793</v>
      </c>
      <c r="C37">
        <f t="shared" si="9"/>
        <v>1016.3793543819107</v>
      </c>
      <c r="D37">
        <f t="shared" si="9"/>
        <v>1115.9709201018952</v>
      </c>
      <c r="E37">
        <f t="shared" si="9"/>
        <v>804.77037130566373</v>
      </c>
      <c r="F37">
        <f t="shared" si="9"/>
        <v>311.47400951580124</v>
      </c>
      <c r="G37">
        <f t="shared" si="9"/>
        <v>729.37936813047395</v>
      </c>
      <c r="H37">
        <f t="shared" si="9"/>
        <v>1444.1200754442345</v>
      </c>
      <c r="I37">
        <f t="shared" si="9"/>
        <v>781.42958138504264</v>
      </c>
      <c r="J37">
        <f t="shared" si="9"/>
        <v>435.93533860933354</v>
      </c>
      <c r="K37">
        <f t="shared" si="9"/>
        <v>108.51507758199173</v>
      </c>
      <c r="L37">
        <f t="shared" si="9"/>
        <v>606.03445459406601</v>
      </c>
      <c r="M37">
        <f t="shared" si="9"/>
        <v>130.86930089039794</v>
      </c>
      <c r="N37">
        <f t="shared" si="9"/>
        <v>729.37936813047395</v>
      </c>
      <c r="O37">
        <f t="shared" si="9"/>
        <v>845.76627844769553</v>
      </c>
      <c r="P37">
        <f t="shared" si="9"/>
        <v>626.05977425203787</v>
      </c>
      <c r="Q37">
        <f t="shared" si="9"/>
        <v>352.19731830299617</v>
      </c>
      <c r="R37">
        <f t="shared" si="9"/>
        <v>483.93837585285252</v>
      </c>
      <c r="S37">
        <f t="shared" si="9"/>
        <v>314.89887265596849</v>
      </c>
      <c r="T37">
        <f t="shared" si="9"/>
        <v>468.18709838291653</v>
      </c>
      <c r="U37">
        <f t="shared" si="9"/>
        <v>197.88367675480026</v>
      </c>
      <c r="V37">
        <f t="shared" si="9"/>
        <v>300.14838808377846</v>
      </c>
      <c r="W37">
        <f t="shared" si="9"/>
        <v>73.102617229422336</v>
      </c>
      <c r="X37">
        <f t="shared" si="9"/>
        <v>539.04776498290528</v>
      </c>
      <c r="Y37">
        <f t="shared" si="9"/>
        <v>326.40483210446382</v>
      </c>
      <c r="Z37">
        <f t="shared" si="9"/>
        <v>262.70458732403523</v>
      </c>
      <c r="AA37">
        <f t="shared" si="9"/>
        <v>222.87265872055923</v>
      </c>
      <c r="AB37">
        <f t="shared" si="9"/>
        <v>470.80023191798716</v>
      </c>
      <c r="AC37">
        <f t="shared" si="9"/>
        <v>46.269285054371522</v>
      </c>
      <c r="AD37">
        <f t="shared" si="9"/>
        <v>35.842940373314768</v>
      </c>
      <c r="AE37">
        <f t="shared" si="9"/>
        <v>17.43704562659212</v>
      </c>
      <c r="AF37">
        <f t="shared" si="9"/>
        <v>108.51507758199173</v>
      </c>
      <c r="AG37">
        <f t="shared" si="9"/>
        <v>9.4915254237288114</v>
      </c>
      <c r="AH37">
        <f t="shared" si="9"/>
        <v>99.815473530432996</v>
      </c>
      <c r="AI37">
        <f t="shared" si="9"/>
        <v>94.406874752713577</v>
      </c>
      <c r="AJ37">
        <f t="shared" si="9"/>
        <v>441.04392356829771</v>
      </c>
      <c r="AK37">
        <f t="shared" si="9"/>
        <v>9.4915254237288114</v>
      </c>
    </row>
    <row r="38" spans="1:37" x14ac:dyDescent="0.2">
      <c r="A38" s="2">
        <v>17</v>
      </c>
      <c r="B38">
        <f t="shared" si="10"/>
        <v>576.40632931815026</v>
      </c>
      <c r="C38">
        <f t="shared" si="9"/>
        <v>2147.0181156658682</v>
      </c>
      <c r="D38">
        <f t="shared" si="9"/>
        <v>1724.1935373660172</v>
      </c>
      <c r="E38">
        <f t="shared" si="9"/>
        <v>1315.0135704917348</v>
      </c>
      <c r="F38">
        <f t="shared" si="9"/>
        <v>607.45762711864347</v>
      </c>
      <c r="G38">
        <f t="shared" si="9"/>
        <v>1151.0260214433231</v>
      </c>
      <c r="H38">
        <f t="shared" si="9"/>
        <v>3945.6522687088577</v>
      </c>
      <c r="I38">
        <f t="shared" si="9"/>
        <v>1444.1200754442345</v>
      </c>
      <c r="J38">
        <f t="shared" si="9"/>
        <v>1076.1068965359304</v>
      </c>
      <c r="K38">
        <f t="shared" si="9"/>
        <v>1207.8605504036825</v>
      </c>
      <c r="L38">
        <f t="shared" si="9"/>
        <v>864.91525423728842</v>
      </c>
      <c r="M38">
        <f t="shared" si="9"/>
        <v>111.73816798404101</v>
      </c>
      <c r="N38">
        <f t="shared" si="9"/>
        <v>1923.3780610574133</v>
      </c>
      <c r="O38">
        <f t="shared" si="9"/>
        <v>916.67242153965617</v>
      </c>
      <c r="P38">
        <f t="shared" si="9"/>
        <v>1220.4143466724399</v>
      </c>
      <c r="Q38">
        <f t="shared" si="9"/>
        <v>518.65641460876907</v>
      </c>
      <c r="R38">
        <f t="shared" si="9"/>
        <v>864.91525423728842</v>
      </c>
      <c r="S38">
        <f t="shared" si="9"/>
        <v>580.60855227907518</v>
      </c>
      <c r="T38">
        <f t="shared" si="9"/>
        <v>655.04121224876076</v>
      </c>
      <c r="U38">
        <f t="shared" si="9"/>
        <v>418.2123434744787</v>
      </c>
      <c r="V38">
        <f t="shared" si="9"/>
        <v>584.82093783537891</v>
      </c>
      <c r="W38">
        <f t="shared" si="9"/>
        <v>92.119826290887318</v>
      </c>
      <c r="X38">
        <f t="shared" si="9"/>
        <v>577.80593961075579</v>
      </c>
      <c r="Y38">
        <f t="shared" si="9"/>
        <v>409.44321861211955</v>
      </c>
      <c r="Z38">
        <f t="shared" si="9"/>
        <v>288.96346670555283</v>
      </c>
      <c r="AA38">
        <f t="shared" si="9"/>
        <v>260.55421540805293</v>
      </c>
      <c r="AB38">
        <f t="shared" si="9"/>
        <v>675.58676651224414</v>
      </c>
      <c r="AC38">
        <f t="shared" si="9"/>
        <v>28.884506870370807</v>
      </c>
      <c r="AD38">
        <f t="shared" si="9"/>
        <v>0</v>
      </c>
      <c r="AE38">
        <f t="shared" si="9"/>
        <v>21.038239626281094</v>
      </c>
      <c r="AF38">
        <f t="shared" si="9"/>
        <v>166.45301828670398</v>
      </c>
      <c r="AG38">
        <f t="shared" si="9"/>
        <v>0</v>
      </c>
      <c r="AH38">
        <f t="shared" si="9"/>
        <v>76.645178928819334</v>
      </c>
      <c r="AI38">
        <f t="shared" si="9"/>
        <v>0</v>
      </c>
      <c r="AJ38">
        <f t="shared" si="9"/>
        <v>836.24551347372915</v>
      </c>
      <c r="AK38">
        <f t="shared" si="9"/>
        <v>9.4915254237288114</v>
      </c>
    </row>
    <row r="39" spans="1:37" x14ac:dyDescent="0.2">
      <c r="A39" s="2">
        <v>20</v>
      </c>
      <c r="B39">
        <f t="shared" si="10"/>
        <v>1102.0503858335289</v>
      </c>
      <c r="C39">
        <f t="shared" si="9"/>
        <v>2401.1871046702258</v>
      </c>
      <c r="D39">
        <f t="shared" si="9"/>
        <v>1628.3451492743134</v>
      </c>
      <c r="E39">
        <f t="shared" si="9"/>
        <v>1513.0629989278389</v>
      </c>
      <c r="F39">
        <f t="shared" si="9"/>
        <v>727.2618647440961</v>
      </c>
      <c r="G39">
        <f t="shared" si="9"/>
        <v>1393.1207947551013</v>
      </c>
      <c r="H39">
        <f t="shared" si="9"/>
        <v>5611.0212756758128</v>
      </c>
      <c r="I39">
        <f t="shared" si="9"/>
        <v>2496.8077291261029</v>
      </c>
      <c r="J39">
        <f t="shared" si="9"/>
        <v>1250.1760744118183</v>
      </c>
      <c r="K39">
        <f t="shared" si="9"/>
        <v>1151.2022033898313</v>
      </c>
      <c r="L39">
        <f t="shared" si="9"/>
        <v>864.75508968936686</v>
      </c>
      <c r="M39">
        <f t="shared" si="9"/>
        <v>161.48447954786957</v>
      </c>
      <c r="N39">
        <f t="shared" si="9"/>
        <v>2099.483750055726</v>
      </c>
      <c r="O39">
        <f t="shared" si="9"/>
        <v>1206.9655074102134</v>
      </c>
      <c r="P39">
        <f t="shared" si="9"/>
        <v>1595.4286795129169</v>
      </c>
      <c r="Q39">
        <f t="shared" si="9"/>
        <v>951.50960337835204</v>
      </c>
      <c r="R39">
        <f t="shared" si="9"/>
        <v>1778.905884991872</v>
      </c>
      <c r="S39">
        <f t="shared" si="9"/>
        <v>823.29204119447616</v>
      </c>
      <c r="T39">
        <f t="shared" si="9"/>
        <v>796.18550575215022</v>
      </c>
      <c r="U39">
        <f t="shared" si="9"/>
        <v>1029.9309683094816</v>
      </c>
      <c r="V39">
        <f t="shared" si="9"/>
        <v>1551.82519206142</v>
      </c>
      <c r="W39">
        <f t="shared" si="9"/>
        <v>84.337738952075355</v>
      </c>
      <c r="X39">
        <f t="shared" si="9"/>
        <v>833.87094120435279</v>
      </c>
      <c r="Y39">
        <f t="shared" si="9"/>
        <v>541.64932203389833</v>
      </c>
      <c r="Z39">
        <f t="shared" si="9"/>
        <v>462.97539822570718</v>
      </c>
      <c r="AA39">
        <f t="shared" si="9"/>
        <v>436.57282624591494</v>
      </c>
      <c r="AB39">
        <f t="shared" si="9"/>
        <v>728.62288135593224</v>
      </c>
      <c r="AC39">
        <f t="shared" si="9"/>
        <v>0</v>
      </c>
      <c r="AD39">
        <f t="shared" si="9"/>
        <v>0</v>
      </c>
      <c r="AE39">
        <f t="shared" si="9"/>
        <v>9.4915254237288114</v>
      </c>
      <c r="AF39">
        <f t="shared" si="9"/>
        <v>108.11440677966101</v>
      </c>
      <c r="AG39">
        <f t="shared" si="9"/>
        <v>0</v>
      </c>
      <c r="AH39">
        <f t="shared" si="9"/>
        <v>202.80193906035967</v>
      </c>
      <c r="AI39">
        <f t="shared" si="9"/>
        <v>0</v>
      </c>
      <c r="AJ39">
        <f t="shared" si="9"/>
        <v>1003.5608581168123</v>
      </c>
      <c r="AK39">
        <f t="shared" si="9"/>
        <v>0</v>
      </c>
    </row>
    <row r="40" spans="1:37" x14ac:dyDescent="0.2">
      <c r="A40" s="2">
        <v>23</v>
      </c>
      <c r="B40">
        <f t="shared" si="10"/>
        <v>1186.4406779661026</v>
      </c>
      <c r="C40">
        <f t="shared" si="9"/>
        <v>3692.3647457627117</v>
      </c>
      <c r="E40">
        <f t="shared" si="9"/>
        <v>3185.3381868082552</v>
      </c>
      <c r="G40">
        <f t="shared" si="9"/>
        <v>2606.6101694915269</v>
      </c>
      <c r="H40">
        <f t="shared" si="9"/>
        <v>9153.2955296864711</v>
      </c>
      <c r="I40">
        <f t="shared" si="9"/>
        <v>5182.0393808380222</v>
      </c>
      <c r="J40">
        <f t="shared" si="9"/>
        <v>2052.3054554655732</v>
      </c>
      <c r="K40">
        <f t="shared" si="9"/>
        <v>2136.8332707392806</v>
      </c>
      <c r="M40">
        <f t="shared" si="9"/>
        <v>406.94915254237264</v>
      </c>
      <c r="N40">
        <f t="shared" si="9"/>
        <v>2120.8303105226582</v>
      </c>
      <c r="O40">
        <f t="shared" si="9"/>
        <v>1636.2625400588984</v>
      </c>
      <c r="P40">
        <f t="shared" si="9"/>
        <v>2600.1348873124357</v>
      </c>
      <c r="R40">
        <f t="shared" si="9"/>
        <v>1941.8048886345625</v>
      </c>
      <c r="T40">
        <f t="shared" si="9"/>
        <v>1908.3451879345066</v>
      </c>
      <c r="U40">
        <f t="shared" si="9"/>
        <v>2910.4441031021065</v>
      </c>
      <c r="V40">
        <f t="shared" si="9"/>
        <v>1602.8989504000533</v>
      </c>
      <c r="W40">
        <f t="shared" si="9"/>
        <v>331.62724801386759</v>
      </c>
      <c r="X40">
        <f t="shared" si="9"/>
        <v>1835.2140034235292</v>
      </c>
      <c r="Y40">
        <f t="shared" si="9"/>
        <v>561.362855550527</v>
      </c>
      <c r="Z40">
        <f t="shared" si="9"/>
        <v>755.25499802170953</v>
      </c>
      <c r="AA40">
        <f t="shared" si="9"/>
        <v>721.22317500947963</v>
      </c>
      <c r="AB40">
        <f t="shared" si="9"/>
        <v>1315.0135704917348</v>
      </c>
      <c r="AC40">
        <f t="shared" si="9"/>
        <v>0</v>
      </c>
      <c r="AD40">
        <f t="shared" si="9"/>
        <v>0</v>
      </c>
      <c r="AE40">
        <f t="shared" si="9"/>
        <v>50.868644067796616</v>
      </c>
      <c r="AF40">
        <f t="shared" si="9"/>
        <v>110.12269214599323</v>
      </c>
      <c r="AG40">
        <f t="shared" si="9"/>
        <v>0</v>
      </c>
      <c r="AH40">
        <f t="shared" si="9"/>
        <v>966.09704952793379</v>
      </c>
      <c r="AI40">
        <f t="shared" si="9"/>
        <v>9.4915254237288114</v>
      </c>
      <c r="AJ40">
        <f t="shared" si="9"/>
        <v>222.46508915484816</v>
      </c>
      <c r="AK40">
        <f t="shared" si="9"/>
        <v>0</v>
      </c>
    </row>
    <row r="41" spans="1:37" x14ac:dyDescent="0.2">
      <c r="A41" s="2">
        <v>26</v>
      </c>
      <c r="B41">
        <f t="shared" si="10"/>
        <v>1144.8653194410529</v>
      </c>
      <c r="C41">
        <f t="shared" si="9"/>
        <v>4916.7212538985559</v>
      </c>
      <c r="E41">
        <f t="shared" si="9"/>
        <v>4227.2923951149005</v>
      </c>
      <c r="G41">
        <f t="shared" si="9"/>
        <v>2984.1972914070584</v>
      </c>
      <c r="H41">
        <f t="shared" si="9"/>
        <v>11363.466636626514</v>
      </c>
      <c r="I41">
        <f t="shared" si="9"/>
        <v>4677.1617535269052</v>
      </c>
      <c r="K41">
        <f t="shared" si="9"/>
        <v>4125.5022777259182</v>
      </c>
      <c r="M41">
        <f t="shared" si="9"/>
        <v>256.27118644067804</v>
      </c>
      <c r="N41">
        <f t="shared" si="9"/>
        <v>2438.6523365170365</v>
      </c>
      <c r="P41">
        <f t="shared" si="9"/>
        <v>4069.0123796942307</v>
      </c>
      <c r="R41">
        <f t="shared" si="9"/>
        <v>4009.0433337702084</v>
      </c>
      <c r="T41">
        <f t="shared" si="9"/>
        <v>2299.2712542838663</v>
      </c>
      <c r="U41">
        <f t="shared" si="9"/>
        <v>3752.0254540681676</v>
      </c>
      <c r="V41">
        <f t="shared" si="9"/>
        <v>1965.3417584534304</v>
      </c>
      <c r="W41">
        <f t="shared" si="9"/>
        <v>492.94091657381654</v>
      </c>
      <c r="X41">
        <f t="shared" si="9"/>
        <v>2070.9195917599291</v>
      </c>
      <c r="Y41">
        <f t="shared" si="9"/>
        <v>488.96239014977721</v>
      </c>
      <c r="Z41">
        <f t="shared" si="9"/>
        <v>786.07940269953849</v>
      </c>
      <c r="AA41">
        <f t="shared" si="9"/>
        <v>509.90188914338887</v>
      </c>
      <c r="AB41">
        <f t="shared" si="9"/>
        <v>1258.3343070832361</v>
      </c>
      <c r="AC41">
        <f t="shared" si="9"/>
        <v>0</v>
      </c>
      <c r="AD41">
        <f t="shared" si="9"/>
        <v>0</v>
      </c>
      <c r="AE41">
        <f t="shared" si="9"/>
        <v>60.096779661016917</v>
      </c>
      <c r="AF41">
        <f t="shared" si="9"/>
        <v>139.58355932203392</v>
      </c>
      <c r="AG41">
        <f t="shared" si="9"/>
        <v>0</v>
      </c>
      <c r="AH41">
        <f t="shared" si="9"/>
        <v>1021.1156120173951</v>
      </c>
      <c r="AI41">
        <f t="shared" si="9"/>
        <v>9.4915254237288114</v>
      </c>
      <c r="AJ41">
        <f t="shared" si="9"/>
        <v>358.50808052841091</v>
      </c>
      <c r="AK41">
        <f t="shared" si="9"/>
        <v>0</v>
      </c>
    </row>
    <row r="42" spans="1:37" x14ac:dyDescent="0.2">
      <c r="A42" s="2">
        <v>29</v>
      </c>
      <c r="C42">
        <f t="shared" si="9"/>
        <v>8529.0461887459514</v>
      </c>
      <c r="E42">
        <f t="shared" si="9"/>
        <v>4884.7401656448437</v>
      </c>
      <c r="G42">
        <f t="shared" si="9"/>
        <v>5369.3308820345446</v>
      </c>
      <c r="I42">
        <f t="shared" si="9"/>
        <v>9137.8271536777884</v>
      </c>
      <c r="K42">
        <f t="shared" si="9"/>
        <v>4959.6618998984377</v>
      </c>
      <c r="M42">
        <f t="shared" si="9"/>
        <v>282.76203389830499</v>
      </c>
      <c r="N42">
        <f t="shared" si="9"/>
        <v>2256.5815651583589</v>
      </c>
      <c r="R42">
        <f t="shared" si="9"/>
        <v>6036.8355958070752</v>
      </c>
      <c r="T42">
        <f t="shared" si="9"/>
        <v>3468.3802192738735</v>
      </c>
      <c r="U42">
        <f t="shared" si="9"/>
        <v>4177.9183821342722</v>
      </c>
      <c r="V42">
        <f t="shared" si="9"/>
        <v>3107.2516678440684</v>
      </c>
      <c r="W42">
        <f t="shared" si="9"/>
        <v>806.02163372801317</v>
      </c>
      <c r="X42">
        <f t="shared" si="9"/>
        <v>3511.7293480278204</v>
      </c>
      <c r="Y42">
        <f t="shared" si="9"/>
        <v>830.70834808864788</v>
      </c>
      <c r="Z42">
        <f t="shared" si="9"/>
        <v>913.40830801153663</v>
      </c>
      <c r="AA42">
        <f t="shared" si="9"/>
        <v>900.39073569862796</v>
      </c>
      <c r="AC42">
        <f t="shared" ref="AC42:AK42" si="11">((AC26/(1+0.3/(8*0.7)))/0.000004)/100000</f>
        <v>0</v>
      </c>
      <c r="AD42">
        <f t="shared" si="11"/>
        <v>0</v>
      </c>
      <c r="AE42">
        <f t="shared" si="11"/>
        <v>57.547106218042529</v>
      </c>
      <c r="AF42">
        <f t="shared" si="11"/>
        <v>180.51500943052929</v>
      </c>
      <c r="AG42">
        <f t="shared" si="11"/>
        <v>0</v>
      </c>
      <c r="AH42">
        <f t="shared" si="11"/>
        <v>0</v>
      </c>
      <c r="AI42">
        <f t="shared" si="11"/>
        <v>9.4915254237288114</v>
      </c>
      <c r="AJ42">
        <f t="shared" si="11"/>
        <v>487.77092939434499</v>
      </c>
      <c r="AK42">
        <f t="shared" si="11"/>
        <v>0</v>
      </c>
    </row>
    <row r="45" spans="1:37" x14ac:dyDescent="0.2">
      <c r="A45" s="13"/>
      <c r="B45" s="13" t="s">
        <v>19</v>
      </c>
      <c r="C45" s="13"/>
      <c r="D45" s="13"/>
      <c r="E45" s="13"/>
      <c r="F45" s="13"/>
    </row>
    <row r="46" spans="1:37" x14ac:dyDescent="0.2">
      <c r="A46" s="13" t="s">
        <v>0</v>
      </c>
      <c r="B46" s="13" t="s">
        <v>18</v>
      </c>
      <c r="C46" s="13" t="s">
        <v>20</v>
      </c>
      <c r="D46" s="13" t="s">
        <v>21</v>
      </c>
      <c r="E46" s="13" t="s">
        <v>22</v>
      </c>
      <c r="F46" s="13" t="s">
        <v>23</v>
      </c>
    </row>
    <row r="47" spans="1:37" x14ac:dyDescent="0.2">
      <c r="A47" s="13" t="s">
        <v>10</v>
      </c>
      <c r="B47" s="13">
        <f>AVERAGE(B35:J35)/10</f>
        <v>19.582692932051952</v>
      </c>
      <c r="C47" s="13">
        <f>AVERAGE(K35:S35)/10</f>
        <v>19.582692932051952</v>
      </c>
      <c r="D47" s="13">
        <f>AVERAGE(T35:AB35)/10</f>
        <v>19.582692932051952</v>
      </c>
      <c r="E47" s="13">
        <f>AVERAGE(AC35:AK35)/10</f>
        <v>19.582692932051952</v>
      </c>
      <c r="F47" s="13">
        <f>C47*D47</f>
        <v>383.48186247103746</v>
      </c>
      <c r="K47">
        <f>K36/K35</f>
        <v>1.1090339346573552</v>
      </c>
      <c r="L47">
        <f t="shared" ref="L47:S47" si="12">L36/L35</f>
        <v>1.0040458499408353</v>
      </c>
      <c r="M47">
        <f t="shared" si="12"/>
        <v>1.3891094580415975</v>
      </c>
      <c r="N47">
        <f t="shared" si="12"/>
        <v>0.83917112756288359</v>
      </c>
      <c r="O47">
        <f t="shared" si="12"/>
        <v>2.6423478612079254</v>
      </c>
      <c r="P47">
        <f t="shared" si="12"/>
        <v>1.3543955953704472</v>
      </c>
      <c r="Q47">
        <f t="shared" si="12"/>
        <v>1.4299171923785048</v>
      </c>
      <c r="R47">
        <f t="shared" si="12"/>
        <v>1.153689732987166</v>
      </c>
      <c r="S47">
        <f t="shared" si="12"/>
        <v>1.6410930772023342</v>
      </c>
      <c r="T47">
        <f>T36/T35</f>
        <v>1.6520947956875545</v>
      </c>
      <c r="U47">
        <f t="shared" ref="U47:AB47" si="13">U36/U35</f>
        <v>0.77863443727176007</v>
      </c>
      <c r="V47">
        <f t="shared" si="13"/>
        <v>1.3834968988252143</v>
      </c>
      <c r="W47">
        <f t="shared" si="13"/>
        <v>9.8665971331443766E-2</v>
      </c>
      <c r="X47">
        <f t="shared" si="13"/>
        <v>3.8765876868175289</v>
      </c>
      <c r="Y47">
        <f t="shared" si="13"/>
        <v>1.5445805560276864</v>
      </c>
      <c r="Z47">
        <f t="shared" si="13"/>
        <v>1.725231509007495</v>
      </c>
      <c r="AA47">
        <f t="shared" si="13"/>
        <v>1.9818407427860603</v>
      </c>
      <c r="AB47">
        <f t="shared" si="13"/>
        <v>1.5357404580750738</v>
      </c>
      <c r="AC47">
        <f>AC36/AC35</f>
        <v>0.46764768344532398</v>
      </c>
      <c r="AD47">
        <f>AD36/AD35</f>
        <v>0.23180947805054744</v>
      </c>
      <c r="AE47">
        <f>AE36/AE35</f>
        <v>0.31171410511596942</v>
      </c>
      <c r="AF47">
        <f>AF36/AF35</f>
        <v>0.74051229585167222</v>
      </c>
      <c r="AG47">
        <f>AG36/AG35</f>
        <v>6.4775752330846648E-2</v>
      </c>
      <c r="AH47">
        <f>AH36/AH35</f>
        <v>1.0216289525563413</v>
      </c>
      <c r="AI47">
        <f>AI36/AI35</f>
        <v>1.3462597802781362</v>
      </c>
      <c r="AJ47">
        <f>AJ36/AJ35</f>
        <v>1.03351783830036</v>
      </c>
      <c r="AK47">
        <f>AK36/AK35</f>
        <v>0.71913442687411122</v>
      </c>
    </row>
    <row r="48" spans="1:37" x14ac:dyDescent="0.2">
      <c r="A48" s="13" t="s">
        <v>11</v>
      </c>
      <c r="B48" s="13">
        <f>AVERAGE(B36:J36)/AVERAGE(B35:J35)</f>
        <v>2.5318745219315435</v>
      </c>
      <c r="C48" s="13">
        <f>AVERAGE(K47:S47)</f>
        <v>1.3958670921498944</v>
      </c>
      <c r="D48" s="13">
        <f>AVERAGE(T47:AB47)</f>
        <v>1.6196525617588684</v>
      </c>
      <c r="E48" s="13">
        <f>AVERAGE(AC47:AK47)</f>
        <v>0.65966670142258976</v>
      </c>
      <c r="F48" s="13">
        <f t="shared" ref="F48:F54" si="14">C48*D48</f>
        <v>2.2608197116754787</v>
      </c>
      <c r="K48">
        <f t="shared" ref="K48:S48" si="15">K37/K36</f>
        <v>0.45135204473460017</v>
      </c>
      <c r="L48">
        <f t="shared" si="15"/>
        <v>2.2513181748448039</v>
      </c>
      <c r="M48">
        <f t="shared" si="15"/>
        <v>0.48812481835008797</v>
      </c>
      <c r="N48">
        <f t="shared" si="15"/>
        <v>4.9181008822511973</v>
      </c>
      <c r="O48">
        <f t="shared" si="15"/>
        <v>2.1844234219968435</v>
      </c>
      <c r="P48">
        <f t="shared" si="15"/>
        <v>1.8978215476544618</v>
      </c>
      <c r="Q48">
        <f t="shared" si="15"/>
        <v>1.5659183258181961</v>
      </c>
      <c r="R48">
        <f t="shared" si="15"/>
        <v>2.520051175702859</v>
      </c>
      <c r="S48">
        <f t="shared" si="15"/>
        <v>0.98920221816926335</v>
      </c>
      <c r="T48">
        <f t="shared" ref="T48:AB48" si="16">T37/T36</f>
        <v>1.3072379367657656</v>
      </c>
      <c r="U48">
        <f t="shared" si="16"/>
        <v>0.94791516360631745</v>
      </c>
      <c r="V48">
        <f t="shared" si="16"/>
        <v>1.1240545835892681</v>
      </c>
      <c r="W48">
        <f t="shared" si="16"/>
        <v>4.1923740291152436</v>
      </c>
      <c r="X48">
        <f t="shared" si="16"/>
        <v>0.94897350686432236</v>
      </c>
      <c r="Y48">
        <f t="shared" si="16"/>
        <v>0.867623130713297</v>
      </c>
      <c r="Z48">
        <f t="shared" si="16"/>
        <v>0.9680866357005683</v>
      </c>
      <c r="AA48">
        <f t="shared" si="16"/>
        <v>0.67561046324729523</v>
      </c>
      <c r="AB48">
        <f t="shared" si="16"/>
        <v>1.5803963996248891</v>
      </c>
      <c r="AC48">
        <f>AC37/AC36</f>
        <v>0.45639845506310195</v>
      </c>
      <c r="AD48">
        <f>AD37/AD36</f>
        <v>0.57672071093871435</v>
      </c>
      <c r="AE48">
        <f>AE37/AE36</f>
        <v>0.28983179387227381</v>
      </c>
      <c r="AF48">
        <f>AF37/AF36</f>
        <v>0.82918665297121363</v>
      </c>
      <c r="AG48">
        <f>AG37/AG36</f>
        <v>1</v>
      </c>
      <c r="AH48">
        <f>AH37/AH36</f>
        <v>0.40113428703126269</v>
      </c>
      <c r="AI48">
        <f>AI37/AI36</f>
        <v>0.4458293947171339</v>
      </c>
      <c r="AJ48">
        <f>AJ37/AJ36</f>
        <v>2.5637294459409388</v>
      </c>
      <c r="AK48">
        <f>AK37/AK36</f>
        <v>6.8041381743977128E-2</v>
      </c>
    </row>
    <row r="49" spans="1:37" x14ac:dyDescent="0.2">
      <c r="A49" s="13" t="s">
        <v>12</v>
      </c>
      <c r="B49" s="13">
        <f>AVERAGE(B37:J37)/AVERAGE(B36:J36)</f>
        <v>1.5735777046929817</v>
      </c>
      <c r="C49" s="13">
        <f t="shared" ref="C49:C54" si="17">AVERAGE(K48:S48)</f>
        <v>1.9184791788358124</v>
      </c>
      <c r="D49" s="13">
        <f t="shared" ref="D49:D54" si="18">AVERAGE(T48:AB48)</f>
        <v>1.4013635388029964</v>
      </c>
      <c r="E49" s="13">
        <f>AVERAGE(AC48:AK48)</f>
        <v>0.73676356914206853</v>
      </c>
      <c r="F49" s="13">
        <f t="shared" si="14"/>
        <v>2.6884867711732205</v>
      </c>
      <c r="K49">
        <f t="shared" ref="K49:S49" si="19">K38/K37</f>
        <v>11.130808522816087</v>
      </c>
      <c r="L49">
        <f t="shared" si="19"/>
        <v>1.4271717518381459</v>
      </c>
      <c r="M49">
        <f t="shared" si="19"/>
        <v>0.85381496824546266</v>
      </c>
      <c r="N49">
        <f t="shared" si="19"/>
        <v>2.6370063989983232</v>
      </c>
      <c r="O49">
        <f t="shared" si="19"/>
        <v>1.0838365691548977</v>
      </c>
      <c r="P49">
        <f t="shared" si="19"/>
        <v>1.9493575483754495</v>
      </c>
      <c r="Q49">
        <f t="shared" si="19"/>
        <v>1.4726302207746162</v>
      </c>
      <c r="R49">
        <f t="shared" si="19"/>
        <v>1.7872425444934681</v>
      </c>
      <c r="S49">
        <f t="shared" si="19"/>
        <v>1.843793683292726</v>
      </c>
      <c r="T49">
        <f t="shared" ref="T49:AB49" si="20">T38/T37</f>
        <v>1.3991013731715898</v>
      </c>
      <c r="U49">
        <f t="shared" si="20"/>
        <v>2.1134251714591397</v>
      </c>
      <c r="V49">
        <f t="shared" si="20"/>
        <v>1.9484393755002998</v>
      </c>
      <c r="W49">
        <f t="shared" si="20"/>
        <v>1.2601440246904174</v>
      </c>
      <c r="X49">
        <f t="shared" si="20"/>
        <v>1.0719011878828208</v>
      </c>
      <c r="Y49">
        <f t="shared" si="20"/>
        <v>1.2544030551639622</v>
      </c>
      <c r="Z49">
        <f t="shared" si="20"/>
        <v>1.0999559225402042</v>
      </c>
      <c r="AA49">
        <f t="shared" si="20"/>
        <v>1.1690721369943333</v>
      </c>
      <c r="AB49">
        <f t="shared" si="20"/>
        <v>1.4349754327009987</v>
      </c>
      <c r="AC49">
        <f>AC38/AC37</f>
        <v>0.62426957400418703</v>
      </c>
      <c r="AD49">
        <v>0</v>
      </c>
      <c r="AE49">
        <f>AE38/AE37</f>
        <v>1.2065254674907213</v>
      </c>
      <c r="AF49">
        <f>AF38/AF37</f>
        <v>1.5339160418600406</v>
      </c>
      <c r="AG49">
        <v>0</v>
      </c>
      <c r="AH49">
        <f>AH38/AH37</f>
        <v>0.76786871031023851</v>
      </c>
      <c r="AI49">
        <v>0</v>
      </c>
      <c r="AJ49">
        <f>AJ38/AJ37</f>
        <v>1.8960594824842487</v>
      </c>
      <c r="AK49">
        <f>AK38/AK37</f>
        <v>1</v>
      </c>
    </row>
    <row r="50" spans="1:37" x14ac:dyDescent="0.2">
      <c r="A50" s="13" t="s">
        <v>13</v>
      </c>
      <c r="B50" s="13">
        <f>AVERAGE(B38:J38)/AVERAGE(B37:J37)</f>
        <v>1.9919530902314715</v>
      </c>
      <c r="C50" s="13">
        <f t="shared" si="17"/>
        <v>2.6872958008876866</v>
      </c>
      <c r="D50" s="13">
        <f t="shared" si="18"/>
        <v>1.4168241866781961</v>
      </c>
      <c r="E50" s="13">
        <f>AVERAGE(AC49:AK49)</f>
        <v>0.78095991957215949</v>
      </c>
      <c r="F50" s="13">
        <f t="shared" si="14"/>
        <v>3.8074256874564281</v>
      </c>
      <c r="K50">
        <f t="shared" ref="K50:S50" si="21">K39/K38</f>
        <v>0.95309197986893834</v>
      </c>
      <c r="L50">
        <f t="shared" si="21"/>
        <v>0.99981482053052373</v>
      </c>
      <c r="M50">
        <f t="shared" si="21"/>
        <v>1.4452042883943967</v>
      </c>
      <c r="N50">
        <f t="shared" si="21"/>
        <v>1.0915606206413186</v>
      </c>
      <c r="O50">
        <f t="shared" si="21"/>
        <v>1.3166813782648514</v>
      </c>
      <c r="P50">
        <f t="shared" si="21"/>
        <v>1.307284434883107</v>
      </c>
      <c r="Q50">
        <f t="shared" si="21"/>
        <v>1.8345663460001573</v>
      </c>
      <c r="R50">
        <f t="shared" si="21"/>
        <v>2.0567400982661259</v>
      </c>
      <c r="S50">
        <f t="shared" si="21"/>
        <v>1.4179812508148395</v>
      </c>
      <c r="T50">
        <f t="shared" ref="T50:AB50" si="22">T39/T38</f>
        <v>1.2154739134944506</v>
      </c>
      <c r="U50">
        <f t="shared" si="22"/>
        <v>2.4626986371394199</v>
      </c>
      <c r="V50">
        <f t="shared" si="22"/>
        <v>2.6535048450988308</v>
      </c>
      <c r="W50">
        <f t="shared" si="22"/>
        <v>0.91552212317206916</v>
      </c>
      <c r="X50">
        <f t="shared" si="22"/>
        <v>1.4431678251111395</v>
      </c>
      <c r="Y50">
        <f t="shared" si="22"/>
        <v>1.3228923997567106</v>
      </c>
      <c r="Z50">
        <f t="shared" si="22"/>
        <v>1.6021935350653462</v>
      </c>
      <c r="AA50">
        <f t="shared" si="22"/>
        <v>1.6755546463226472</v>
      </c>
      <c r="AB50">
        <f t="shared" si="22"/>
        <v>1.0785037799326505</v>
      </c>
      <c r="AC50">
        <v>0</v>
      </c>
      <c r="AD50">
        <v>0</v>
      </c>
      <c r="AE50">
        <f>AE39/AE38</f>
        <v>0.45115587579257066</v>
      </c>
      <c r="AF50">
        <f>AF39/AF38</f>
        <v>0.64951905283832889</v>
      </c>
      <c r="AG50">
        <v>0</v>
      </c>
      <c r="AH50">
        <f>AH39/AH38</f>
        <v>2.6459842862223937</v>
      </c>
      <c r="AI50">
        <v>0</v>
      </c>
      <c r="AJ50">
        <f>AJ39/AJ38</f>
        <v>1.200079213517167</v>
      </c>
      <c r="AK50">
        <v>0</v>
      </c>
    </row>
    <row r="51" spans="1:37" x14ac:dyDescent="0.2">
      <c r="A51" s="13" t="s">
        <v>14</v>
      </c>
      <c r="B51" s="13">
        <f>AVERAGE(B39:J39)/AVERAGE(B38:J38)</f>
        <v>1.2957060541097376</v>
      </c>
      <c r="C51" s="13">
        <f t="shared" si="17"/>
        <v>1.3803250241849174</v>
      </c>
      <c r="D51" s="13">
        <f t="shared" si="18"/>
        <v>1.5966124116770293</v>
      </c>
      <c r="E51" s="13">
        <f>AVERAGE(AC50:AK50)</f>
        <v>0.54963760315227328</v>
      </c>
      <c r="F51" s="13">
        <f t="shared" si="14"/>
        <v>2.2038440657620346</v>
      </c>
      <c r="K51">
        <f t="shared" ref="K51:S51" si="23">K40/K39</f>
        <v>1.8561754524506284</v>
      </c>
      <c r="L51">
        <v>0</v>
      </c>
      <c r="M51">
        <f t="shared" si="23"/>
        <v>2.5200511757028567</v>
      </c>
      <c r="N51">
        <f t="shared" si="23"/>
        <v>1.010167528310884</v>
      </c>
      <c r="O51">
        <f t="shared" si="23"/>
        <v>1.3556829337814531</v>
      </c>
      <c r="P51">
        <f t="shared" si="23"/>
        <v>1.6297405961802409</v>
      </c>
      <c r="Q51">
        <v>0</v>
      </c>
      <c r="R51">
        <f t="shared" si="23"/>
        <v>1.0915725812236743</v>
      </c>
      <c r="S51">
        <v>0</v>
      </c>
      <c r="T51">
        <f t="shared" ref="T51:AB51" si="24">T40/T39</f>
        <v>2.3968599957515027</v>
      </c>
      <c r="U51">
        <f t="shared" si="24"/>
        <v>2.8258632788557474</v>
      </c>
      <c r="V51">
        <f t="shared" si="24"/>
        <v>1.0329120564609393</v>
      </c>
      <c r="W51">
        <f t="shared" si="24"/>
        <v>3.93213349248447</v>
      </c>
      <c r="X51">
        <f t="shared" si="24"/>
        <v>2.2008369793687077</v>
      </c>
      <c r="Y51">
        <f t="shared" si="24"/>
        <v>1.0363953811344289</v>
      </c>
      <c r="Z51">
        <f t="shared" si="24"/>
        <v>1.63130697854816</v>
      </c>
      <c r="AA51">
        <f t="shared" si="24"/>
        <v>1.6520111460240665</v>
      </c>
      <c r="AB51">
        <f t="shared" si="24"/>
        <v>1.8047931298075042</v>
      </c>
      <c r="AC51">
        <v>0</v>
      </c>
      <c r="AD51">
        <v>0</v>
      </c>
      <c r="AE51">
        <f>AE40/AE39</f>
        <v>5.3593750000000018</v>
      </c>
      <c r="AF51">
        <f>AF40/AF39</f>
        <v>1.0185755573762258</v>
      </c>
      <c r="AG51">
        <v>0</v>
      </c>
      <c r="AH51">
        <f>AH40/AH39</f>
        <v>4.7637466091504956</v>
      </c>
      <c r="AI51">
        <v>0</v>
      </c>
      <c r="AJ51">
        <f>AJ40/AJ39</f>
        <v>0.22167573332055335</v>
      </c>
      <c r="AK51">
        <v>0</v>
      </c>
    </row>
    <row r="52" spans="1:37" x14ac:dyDescent="0.2">
      <c r="A52" s="13" t="s">
        <v>15</v>
      </c>
      <c r="B52" s="13">
        <f>AVERAGE(B40:J40)/AVERAGE(B39:J39)</f>
        <v>1.9196214660935997</v>
      </c>
      <c r="C52" s="13">
        <f t="shared" si="17"/>
        <v>1.0514878075166374</v>
      </c>
      <c r="D52" s="13">
        <f t="shared" si="18"/>
        <v>2.0570124931595029</v>
      </c>
      <c r="E52" s="13">
        <f>AVERAGE(AC51:AK51)</f>
        <v>1.2625969888719195</v>
      </c>
      <c r="F52" s="13">
        <f t="shared" si="14"/>
        <v>2.1629235564666178</v>
      </c>
      <c r="K52">
        <f t="shared" ref="K52:S52" si="25">K41/K40</f>
        <v>1.9306617573857867</v>
      </c>
      <c r="L52">
        <v>0</v>
      </c>
      <c r="M52">
        <f t="shared" si="25"/>
        <v>0.62973760932944656</v>
      </c>
      <c r="N52">
        <f t="shared" si="25"/>
        <v>1.1498573574780975</v>
      </c>
      <c r="O52">
        <v>0</v>
      </c>
      <c r="P52">
        <f t="shared" si="25"/>
        <v>1.5649235735997002</v>
      </c>
      <c r="Q52">
        <v>0</v>
      </c>
      <c r="R52">
        <f t="shared" si="25"/>
        <v>2.0645963748650802</v>
      </c>
      <c r="S52">
        <v>0</v>
      </c>
      <c r="T52">
        <f t="shared" ref="T52:AB52" si="26">T41/T40</f>
        <v>1.2048508146330055</v>
      </c>
      <c r="U52">
        <f t="shared" si="26"/>
        <v>1.2891590840274372</v>
      </c>
      <c r="V52">
        <f t="shared" si="26"/>
        <v>1.2261170661836907</v>
      </c>
      <c r="W52">
        <f t="shared" si="26"/>
        <v>1.4864306824184825</v>
      </c>
      <c r="X52">
        <f t="shared" si="26"/>
        <v>1.1284349334174102</v>
      </c>
      <c r="Y52">
        <f t="shared" si="26"/>
        <v>0.87102733163606483</v>
      </c>
      <c r="Z52">
        <f t="shared" si="26"/>
        <v>1.0408132415655234</v>
      </c>
      <c r="AA52">
        <f t="shared" si="26"/>
        <v>0.70699598517017537</v>
      </c>
      <c r="AB52">
        <f t="shared" si="26"/>
        <v>0.95689834334766288</v>
      </c>
      <c r="AC52">
        <v>0</v>
      </c>
      <c r="AD52">
        <v>0</v>
      </c>
      <c r="AE52">
        <f>AE41/AE40</f>
        <v>1.1814110787172003</v>
      </c>
      <c r="AF52">
        <f>AF41/AF40</f>
        <v>1.267527669383377</v>
      </c>
      <c r="AG52">
        <v>0</v>
      </c>
      <c r="AH52">
        <f>AH41/AH40</f>
        <v>1.0569493122004101</v>
      </c>
      <c r="AI52">
        <f>AI41/AI40</f>
        <v>1</v>
      </c>
      <c r="AJ52">
        <f>AJ41/AJ40</f>
        <v>1.6115251246404294</v>
      </c>
      <c r="AK52">
        <v>0</v>
      </c>
    </row>
    <row r="53" spans="1:37" x14ac:dyDescent="0.2">
      <c r="A53" s="13" t="s">
        <v>16</v>
      </c>
      <c r="B53" s="13">
        <f>AVERAGE(B41:I41)/AVERAGE(B40:J40)</f>
        <v>1.263908046690797</v>
      </c>
      <c r="C53" s="13">
        <f t="shared" si="17"/>
        <v>0.81553074140645676</v>
      </c>
      <c r="D53" s="13">
        <f t="shared" si="18"/>
        <v>1.1011919424888279</v>
      </c>
      <c r="E53" s="13">
        <f>AVERAGE(AC52:AK52)</f>
        <v>0.67971257610460178</v>
      </c>
      <c r="F53" s="13">
        <f t="shared" si="14"/>
        <v>0.89805588128873015</v>
      </c>
      <c r="K53">
        <f t="shared" ref="K53:S53" si="27">K42/K41</f>
        <v>1.2021958942251099</v>
      </c>
      <c r="L53">
        <v>0</v>
      </c>
      <c r="M53">
        <f t="shared" si="27"/>
        <v>1.1033703703703697</v>
      </c>
      <c r="N53">
        <f t="shared" si="27"/>
        <v>0.92533959489333484</v>
      </c>
      <c r="O53">
        <v>0</v>
      </c>
      <c r="P53">
        <v>0</v>
      </c>
      <c r="Q53">
        <v>0</v>
      </c>
      <c r="R53">
        <f t="shared" si="27"/>
        <v>1.50580452572207</v>
      </c>
      <c r="S53">
        <v>0</v>
      </c>
      <c r="T53">
        <f t="shared" ref="T53:AB54" si="28">T42/T41</f>
        <v>1.5084693521096271</v>
      </c>
      <c r="U53">
        <f t="shared" si="28"/>
        <v>1.1135101382652739</v>
      </c>
      <c r="V53">
        <f t="shared" si="28"/>
        <v>1.5810235825290921</v>
      </c>
      <c r="W53">
        <f t="shared" si="28"/>
        <v>1.6351282813572521</v>
      </c>
      <c r="X53">
        <f t="shared" si="28"/>
        <v>1.6957342824901513</v>
      </c>
      <c r="Y53">
        <f t="shared" si="28"/>
        <v>1.6989207448740347</v>
      </c>
      <c r="Z53">
        <f t="shared" si="28"/>
        <v>1.1619796993468188</v>
      </c>
      <c r="AA53">
        <f t="shared" si="28"/>
        <v>1.7658117274506315</v>
      </c>
      <c r="AB53">
        <v>0</v>
      </c>
      <c r="AC53">
        <v>0</v>
      </c>
      <c r="AD53">
        <v>0</v>
      </c>
      <c r="AE53">
        <f>AE42/AE41</f>
        <v>0.95757387571586816</v>
      </c>
      <c r="AF53">
        <f>AF42/AF41</f>
        <v>1.2932397648211722</v>
      </c>
      <c r="AG53">
        <v>0</v>
      </c>
      <c r="AH53">
        <v>0</v>
      </c>
      <c r="AI53">
        <f>AI42/AI41</f>
        <v>1</v>
      </c>
      <c r="AJ53">
        <f>AJ42/AJ41</f>
        <v>1.3605576997746089</v>
      </c>
      <c r="AK53">
        <v>0</v>
      </c>
    </row>
    <row r="54" spans="1:37" x14ac:dyDescent="0.2">
      <c r="A54" s="13" t="s">
        <v>17</v>
      </c>
      <c r="B54" s="13">
        <f>AVERAGE(C42:I42)/AVERAGE(B41:I41)</f>
        <v>1.4287316149626719</v>
      </c>
      <c r="C54" s="13">
        <f t="shared" si="17"/>
        <v>0.52630115391232046</v>
      </c>
      <c r="D54" s="13">
        <f t="shared" si="18"/>
        <v>1.3511753120469869</v>
      </c>
      <c r="E54" s="13">
        <f>AVERAGE(AC53:AK53)</f>
        <v>0.51237459336796098</v>
      </c>
      <c r="F54" s="13">
        <f t="shared" si="14"/>
        <v>0.71112512586816889</v>
      </c>
    </row>
    <row r="59" spans="1:37" x14ac:dyDescent="0.2">
      <c r="A59" s="13" t="s">
        <v>0</v>
      </c>
      <c r="B59" s="13" t="s">
        <v>22</v>
      </c>
      <c r="C59" s="13" t="s">
        <v>23</v>
      </c>
      <c r="D59" s="16" t="s">
        <v>32</v>
      </c>
      <c r="E59" s="16" t="s">
        <v>33</v>
      </c>
    </row>
    <row r="60" spans="1:37" x14ac:dyDescent="0.2">
      <c r="A60" s="13" t="s">
        <v>11</v>
      </c>
      <c r="B60" s="13">
        <f>E48</f>
        <v>0.65966670142258976</v>
      </c>
      <c r="C60" s="13">
        <f>F48/B48</f>
        <v>0.89294303177027923</v>
      </c>
      <c r="D60" s="13">
        <f>STDEVA(AC47:AK47)/SQRT(9)</f>
        <v>0.14177266513273123</v>
      </c>
      <c r="E60" s="13">
        <f>SQRT(C48^2*(STDEVA(T47:AB47)/3)^2 +D48^2*(STDEVA(K47:S47)/3)^2+(STDEVA(T47:AB47)/3)^2*(STDEVA(K47:S47)/3)^2)</f>
        <v>0.55661207226099885</v>
      </c>
    </row>
    <row r="61" spans="1:37" x14ac:dyDescent="0.2">
      <c r="A61" s="13" t="s">
        <v>12</v>
      </c>
      <c r="B61" s="13">
        <f t="shared" ref="B61:B66" si="29">E49</f>
        <v>0.73676356914206853</v>
      </c>
      <c r="C61" s="13">
        <f t="shared" ref="C61:C66" si="30">F49/B49</f>
        <v>1.7085185962886829</v>
      </c>
      <c r="D61" s="13">
        <f t="shared" ref="D61:D66" si="31">STDEVA(AC48:AK48)/SQRT(9)</f>
        <v>0.24619564143741055</v>
      </c>
      <c r="E61" s="13">
        <f t="shared" ref="E61:E66" si="32">SQRT(C49^2*(STDEVA(T48:AB48)/3)^2 +D49^2*(STDEVA(K48:S48)/3)^2+(STDEVA(T48:AB48)/3)^2*(STDEVA(K48:S48)/3)^2)</f>
        <v>0.95102949631930733</v>
      </c>
    </row>
    <row r="62" spans="1:37" x14ac:dyDescent="0.2">
      <c r="A62" s="13" t="s">
        <v>13</v>
      </c>
      <c r="B62" s="13">
        <f t="shared" si="29"/>
        <v>0.78095991957215949</v>
      </c>
      <c r="C62" s="13">
        <f t="shared" si="30"/>
        <v>1.9114032886256336</v>
      </c>
      <c r="D62" s="13">
        <f t="shared" si="31"/>
        <v>0.23255504073095878</v>
      </c>
      <c r="E62" s="13">
        <f t="shared" si="32"/>
        <v>1.5569181896261028</v>
      </c>
    </row>
    <row r="63" spans="1:37" x14ac:dyDescent="0.2">
      <c r="A63" s="13" t="s">
        <v>14</v>
      </c>
      <c r="B63" s="13">
        <f t="shared" si="29"/>
        <v>0.54963760315227328</v>
      </c>
      <c r="C63" s="13">
        <f t="shared" si="30"/>
        <v>1.700882741708162</v>
      </c>
      <c r="D63" s="13">
        <f t="shared" si="31"/>
        <v>0.29692699562732</v>
      </c>
      <c r="E63" s="13">
        <f t="shared" si="32"/>
        <v>0.33849549445335519</v>
      </c>
    </row>
    <row r="64" spans="1:37" x14ac:dyDescent="0.2">
      <c r="A64" s="13" t="s">
        <v>15</v>
      </c>
      <c r="B64" s="13">
        <f t="shared" si="29"/>
        <v>1.2625969888719195</v>
      </c>
      <c r="C64" s="13">
        <f t="shared" si="30"/>
        <v>1.1267448268684628</v>
      </c>
      <c r="D64" s="13">
        <f t="shared" si="31"/>
        <v>0.72796766217926334</v>
      </c>
      <c r="E64" s="13">
        <f t="shared" si="32"/>
        <v>0.70503122089268755</v>
      </c>
    </row>
    <row r="65" spans="1:11" x14ac:dyDescent="0.2">
      <c r="A65" s="13" t="s">
        <v>16</v>
      </c>
      <c r="B65" s="13">
        <f t="shared" si="29"/>
        <v>0.67971257610460178</v>
      </c>
      <c r="C65" s="13">
        <f t="shared" si="30"/>
        <v>0.71053893805015933</v>
      </c>
      <c r="D65" s="13">
        <f t="shared" si="31"/>
        <v>0.22231205952830757</v>
      </c>
      <c r="E65" s="13">
        <f t="shared" si="32"/>
        <v>0.32950582878744084</v>
      </c>
    </row>
    <row r="66" spans="1:11" x14ac:dyDescent="0.2">
      <c r="A66" s="13" t="s">
        <v>17</v>
      </c>
      <c r="B66" s="13">
        <f t="shared" si="29"/>
        <v>0.51237459336796098</v>
      </c>
      <c r="C66" s="13">
        <f t="shared" si="30"/>
        <v>0.49773177720767964</v>
      </c>
      <c r="D66" s="13">
        <f t="shared" si="31"/>
        <v>0.20675349506058852</v>
      </c>
      <c r="E66" s="13">
        <f t="shared" si="32"/>
        <v>0.30767214193921849</v>
      </c>
    </row>
    <row r="70" spans="1:11" x14ac:dyDescent="0.2">
      <c r="H70" s="13" t="s">
        <v>30</v>
      </c>
      <c r="I70" s="13">
        <v>1.6</v>
      </c>
    </row>
    <row r="71" spans="1:11" x14ac:dyDescent="0.2">
      <c r="H71" s="13" t="s">
        <v>31</v>
      </c>
      <c r="I71" s="13">
        <v>0.28999999999999998</v>
      </c>
    </row>
    <row r="72" spans="1:11" ht="17" x14ac:dyDescent="0.2">
      <c r="B72" s="12" t="s">
        <v>24</v>
      </c>
    </row>
    <row r="74" spans="1:11" x14ac:dyDescent="0.2">
      <c r="F74" s="13"/>
      <c r="G74" s="13" t="s">
        <v>26</v>
      </c>
      <c r="H74" s="13" t="s">
        <v>27</v>
      </c>
    </row>
    <row r="75" spans="1:11" x14ac:dyDescent="0.2">
      <c r="F75" s="13" t="s">
        <v>25</v>
      </c>
      <c r="G75" s="14">
        <v>7.3999999999999999E-4</v>
      </c>
      <c r="H75" s="14">
        <v>2.0999999999999999E-5</v>
      </c>
      <c r="J75" s="13" t="s">
        <v>30</v>
      </c>
      <c r="K75" s="13">
        <v>1.6</v>
      </c>
    </row>
    <row r="76" spans="1:11" x14ac:dyDescent="0.2">
      <c r="F76" s="13" t="s">
        <v>28</v>
      </c>
      <c r="G76" s="13">
        <v>1.94</v>
      </c>
      <c r="H76" s="14">
        <v>7.5000000000000002E-4</v>
      </c>
      <c r="J76" s="13" t="s">
        <v>31</v>
      </c>
      <c r="K76" s="13">
        <v>0.28999999999999998</v>
      </c>
    </row>
    <row r="77" spans="1:11" x14ac:dyDescent="0.2">
      <c r="F77" s="13" t="s">
        <v>29</v>
      </c>
      <c r="G77" s="13">
        <v>14.7</v>
      </c>
      <c r="H77" s="13">
        <v>2E-3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Cox, Nathanael</cp:lastModifiedBy>
  <dcterms:created xsi:type="dcterms:W3CDTF">2021-11-29T19:09:11Z</dcterms:created>
  <dcterms:modified xsi:type="dcterms:W3CDTF">2026-06-12T17:54:00Z</dcterms:modified>
</cp:coreProperties>
</file>